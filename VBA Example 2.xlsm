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311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amip/Desktop/"/>
    </mc:Choice>
  </mc:AlternateContent>
  <bookViews>
    <workbookView xWindow="12800" yWindow="460" windowWidth="12800" windowHeight="14240" tabRatio="500"/>
  </bookViews>
  <sheets>
    <sheet name="Q1" sheetId="1" r:id="rId1"/>
    <sheet name="Q2" sheetId="2" r:id="rId2"/>
    <sheet name="Q3" sheetId="3" r:id="rId3"/>
    <sheet name="Q4" sheetId="4" r:id="rId4"/>
  </sheets>
  <calcPr calcId="150001" calcMode="manual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2" l="1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K57" i="2"/>
  <c r="K11" i="2"/>
  <c r="K103" i="2"/>
  <c r="L57" i="2"/>
  <c r="L11" i="2"/>
  <c r="L103" i="2"/>
  <c r="M57" i="2"/>
  <c r="M11" i="2"/>
  <c r="M103" i="2"/>
  <c r="K58" i="2"/>
  <c r="K12" i="2"/>
  <c r="K104" i="2"/>
  <c r="L58" i="2"/>
  <c r="L12" i="2"/>
  <c r="L104" i="2"/>
  <c r="M58" i="2"/>
  <c r="M12" i="2"/>
  <c r="M104" i="2"/>
  <c r="K59" i="2"/>
  <c r="K13" i="2"/>
  <c r="K105" i="2"/>
  <c r="L59" i="2"/>
  <c r="L13" i="2"/>
  <c r="L105" i="2"/>
  <c r="M59" i="2"/>
  <c r="M13" i="2"/>
  <c r="M105" i="2"/>
  <c r="K60" i="2"/>
  <c r="K14" i="2"/>
  <c r="K106" i="2"/>
  <c r="L60" i="2"/>
  <c r="L14" i="2"/>
  <c r="L106" i="2"/>
  <c r="M60" i="2"/>
  <c r="M14" i="2"/>
  <c r="M106" i="2"/>
  <c r="K61" i="2"/>
  <c r="K15" i="2"/>
  <c r="K107" i="2"/>
  <c r="L61" i="2"/>
  <c r="L15" i="2"/>
  <c r="L107" i="2"/>
  <c r="M61" i="2"/>
  <c r="M15" i="2"/>
  <c r="M107" i="2"/>
  <c r="K62" i="2"/>
  <c r="K16" i="2"/>
  <c r="K108" i="2"/>
  <c r="L62" i="2"/>
  <c r="L16" i="2"/>
  <c r="L108" i="2"/>
  <c r="M62" i="2"/>
  <c r="M16" i="2"/>
  <c r="M108" i="2"/>
  <c r="K63" i="2"/>
  <c r="K17" i="2"/>
  <c r="K109" i="2"/>
  <c r="L63" i="2"/>
  <c r="L17" i="2"/>
  <c r="L109" i="2"/>
  <c r="M63" i="2"/>
  <c r="M17" i="2"/>
  <c r="M109" i="2"/>
  <c r="K64" i="2"/>
  <c r="K18" i="2"/>
  <c r="K110" i="2"/>
  <c r="L64" i="2"/>
  <c r="L18" i="2"/>
  <c r="L110" i="2"/>
  <c r="M64" i="2"/>
  <c r="M18" i="2"/>
  <c r="M110" i="2"/>
  <c r="K65" i="2"/>
  <c r="K19" i="2"/>
  <c r="K111" i="2"/>
  <c r="L65" i="2"/>
  <c r="L19" i="2"/>
  <c r="L111" i="2"/>
  <c r="M65" i="2"/>
  <c r="M19" i="2"/>
  <c r="M111" i="2"/>
  <c r="K71" i="2"/>
  <c r="K25" i="2"/>
  <c r="K117" i="2"/>
  <c r="L71" i="2"/>
  <c r="L25" i="2"/>
  <c r="L117" i="2"/>
  <c r="M71" i="2"/>
  <c r="M25" i="2"/>
  <c r="M117" i="2"/>
  <c r="K72" i="2"/>
  <c r="K26" i="2"/>
  <c r="K118" i="2"/>
  <c r="L72" i="2"/>
  <c r="L26" i="2"/>
  <c r="L118" i="2"/>
  <c r="M72" i="2"/>
  <c r="M26" i="2"/>
  <c r="M118" i="2"/>
  <c r="K73" i="2"/>
  <c r="K27" i="2"/>
  <c r="K119" i="2"/>
  <c r="L73" i="2"/>
  <c r="L27" i="2"/>
  <c r="L119" i="2"/>
  <c r="M73" i="2"/>
  <c r="M27" i="2"/>
  <c r="M119" i="2"/>
  <c r="K74" i="2"/>
  <c r="K28" i="2"/>
  <c r="K120" i="2"/>
  <c r="L74" i="2"/>
  <c r="L28" i="2"/>
  <c r="L120" i="2"/>
  <c r="M74" i="2"/>
  <c r="M28" i="2"/>
  <c r="M120" i="2"/>
  <c r="K75" i="2"/>
  <c r="K29" i="2"/>
  <c r="K121" i="2"/>
  <c r="L75" i="2"/>
  <c r="L29" i="2"/>
  <c r="L121" i="2"/>
  <c r="M75" i="2"/>
  <c r="M29" i="2"/>
  <c r="M121" i="2"/>
  <c r="K76" i="2"/>
  <c r="K30" i="2"/>
  <c r="K122" i="2"/>
  <c r="L76" i="2"/>
  <c r="L30" i="2"/>
  <c r="L122" i="2"/>
  <c r="M76" i="2"/>
  <c r="M30" i="2"/>
  <c r="M122" i="2"/>
  <c r="K77" i="2"/>
  <c r="K31" i="2"/>
  <c r="K123" i="2"/>
  <c r="L77" i="2"/>
  <c r="L31" i="2"/>
  <c r="L123" i="2"/>
  <c r="M77" i="2"/>
  <c r="M31" i="2"/>
  <c r="M123" i="2"/>
  <c r="K78" i="2"/>
  <c r="K32" i="2"/>
  <c r="K124" i="2"/>
  <c r="L78" i="2"/>
  <c r="L32" i="2"/>
  <c r="L124" i="2"/>
  <c r="M78" i="2"/>
  <c r="M32" i="2"/>
  <c r="M124" i="2"/>
  <c r="K79" i="2"/>
  <c r="K33" i="2"/>
  <c r="K125" i="2"/>
  <c r="L79" i="2"/>
  <c r="L33" i="2"/>
  <c r="L125" i="2"/>
  <c r="M79" i="2"/>
  <c r="M33" i="2"/>
  <c r="M125" i="2"/>
  <c r="K85" i="2"/>
  <c r="K39" i="2"/>
  <c r="K131" i="2"/>
  <c r="L85" i="2"/>
  <c r="L39" i="2"/>
  <c r="L131" i="2"/>
  <c r="M85" i="2"/>
  <c r="M39" i="2"/>
  <c r="M131" i="2"/>
  <c r="K86" i="2"/>
  <c r="K40" i="2"/>
  <c r="K132" i="2"/>
  <c r="L86" i="2"/>
  <c r="L40" i="2"/>
  <c r="L132" i="2"/>
  <c r="M86" i="2"/>
  <c r="M40" i="2"/>
  <c r="M132" i="2"/>
  <c r="K87" i="2"/>
  <c r="K41" i="2"/>
  <c r="K133" i="2"/>
  <c r="L87" i="2"/>
  <c r="L41" i="2"/>
  <c r="L133" i="2"/>
  <c r="M87" i="2"/>
  <c r="M41" i="2"/>
  <c r="M133" i="2"/>
  <c r="K88" i="2"/>
  <c r="K42" i="2"/>
  <c r="K134" i="2"/>
  <c r="L88" i="2"/>
  <c r="L42" i="2"/>
  <c r="L134" i="2"/>
  <c r="M88" i="2"/>
  <c r="M42" i="2"/>
  <c r="M134" i="2"/>
  <c r="K89" i="2"/>
  <c r="K43" i="2"/>
  <c r="K135" i="2"/>
  <c r="L89" i="2"/>
  <c r="L43" i="2"/>
  <c r="L135" i="2"/>
  <c r="M89" i="2"/>
  <c r="M43" i="2"/>
  <c r="M135" i="2"/>
  <c r="K90" i="2"/>
  <c r="K44" i="2"/>
  <c r="K136" i="2"/>
  <c r="L90" i="2"/>
  <c r="L44" i="2"/>
  <c r="L136" i="2"/>
  <c r="M90" i="2"/>
  <c r="M44" i="2"/>
  <c r="M136" i="2"/>
  <c r="K91" i="2"/>
  <c r="K45" i="2"/>
  <c r="K137" i="2"/>
  <c r="L91" i="2"/>
  <c r="L45" i="2"/>
  <c r="L137" i="2"/>
  <c r="M91" i="2"/>
  <c r="M45" i="2"/>
  <c r="M137" i="2"/>
  <c r="K92" i="2"/>
  <c r="K46" i="2"/>
  <c r="K138" i="2"/>
  <c r="L92" i="2"/>
  <c r="L46" i="2"/>
  <c r="L138" i="2"/>
  <c r="M92" i="2"/>
  <c r="M46" i="2"/>
  <c r="M138" i="2"/>
  <c r="K93" i="2"/>
  <c r="K47" i="2"/>
  <c r="K139" i="2"/>
  <c r="L93" i="2"/>
  <c r="L47" i="2"/>
  <c r="L139" i="2"/>
  <c r="M93" i="2"/>
  <c r="M47" i="2"/>
  <c r="M139" i="2"/>
  <c r="P57" i="2"/>
  <c r="Q57" i="2"/>
  <c r="R57" i="2"/>
  <c r="AB57" i="2"/>
  <c r="AC57" i="2"/>
  <c r="P58" i="2"/>
  <c r="Q58" i="2"/>
  <c r="R58" i="2"/>
  <c r="AB58" i="2"/>
  <c r="AC58" i="2"/>
  <c r="P59" i="2"/>
  <c r="Q59" i="2"/>
  <c r="R59" i="2"/>
  <c r="AB59" i="2"/>
  <c r="AC59" i="2"/>
  <c r="P60" i="2"/>
  <c r="Q60" i="2"/>
  <c r="R60" i="2"/>
  <c r="AB60" i="2"/>
  <c r="AC60" i="2"/>
  <c r="P61" i="2"/>
  <c r="Q61" i="2"/>
  <c r="R61" i="2"/>
  <c r="AB61" i="2"/>
  <c r="AC61" i="2"/>
  <c r="P62" i="2"/>
  <c r="Q62" i="2"/>
  <c r="R62" i="2"/>
  <c r="AB62" i="2"/>
  <c r="AC62" i="2"/>
  <c r="P63" i="2"/>
  <c r="Q63" i="2"/>
  <c r="R63" i="2"/>
  <c r="AB63" i="2"/>
  <c r="AC63" i="2"/>
  <c r="P64" i="2"/>
  <c r="Q64" i="2"/>
  <c r="R64" i="2"/>
  <c r="AB64" i="2"/>
  <c r="AC64" i="2"/>
  <c r="P65" i="2"/>
  <c r="Q65" i="2"/>
  <c r="R65" i="2"/>
  <c r="AB65" i="2"/>
  <c r="AC65" i="2"/>
  <c r="P71" i="2"/>
  <c r="Q71" i="2"/>
  <c r="R71" i="2"/>
  <c r="AB71" i="2"/>
  <c r="AC71" i="2"/>
  <c r="P72" i="2"/>
  <c r="Q72" i="2"/>
  <c r="R72" i="2"/>
  <c r="AB72" i="2"/>
  <c r="AC72" i="2"/>
  <c r="P73" i="2"/>
  <c r="Q73" i="2"/>
  <c r="R73" i="2"/>
  <c r="AB73" i="2"/>
  <c r="AC73" i="2"/>
  <c r="P74" i="2"/>
  <c r="Q74" i="2"/>
  <c r="R74" i="2"/>
  <c r="AB74" i="2"/>
  <c r="AC74" i="2"/>
  <c r="P75" i="2"/>
  <c r="Q75" i="2"/>
  <c r="R75" i="2"/>
  <c r="AB75" i="2"/>
  <c r="AC75" i="2"/>
  <c r="P76" i="2"/>
  <c r="Q76" i="2"/>
  <c r="R76" i="2"/>
  <c r="AB76" i="2"/>
  <c r="AC76" i="2"/>
  <c r="P77" i="2"/>
  <c r="Q77" i="2"/>
  <c r="R77" i="2"/>
  <c r="AB77" i="2"/>
  <c r="AC77" i="2"/>
  <c r="P78" i="2"/>
  <c r="Q78" i="2"/>
  <c r="R78" i="2"/>
  <c r="AB78" i="2"/>
  <c r="AC78" i="2"/>
  <c r="P79" i="2"/>
  <c r="Q79" i="2"/>
  <c r="R79" i="2"/>
  <c r="AB79" i="2"/>
  <c r="AC79" i="2"/>
  <c r="P85" i="2"/>
  <c r="Q85" i="2"/>
  <c r="R85" i="2"/>
  <c r="AB85" i="2"/>
  <c r="AC85" i="2"/>
  <c r="P86" i="2"/>
  <c r="Q86" i="2"/>
  <c r="R86" i="2"/>
  <c r="AB86" i="2"/>
  <c r="AC86" i="2"/>
  <c r="P87" i="2"/>
  <c r="Q87" i="2"/>
  <c r="R87" i="2"/>
  <c r="AB87" i="2"/>
  <c r="AC87" i="2"/>
  <c r="P88" i="2"/>
  <c r="Q88" i="2"/>
  <c r="R88" i="2"/>
  <c r="AB88" i="2"/>
  <c r="AC88" i="2"/>
  <c r="P89" i="2"/>
  <c r="Q89" i="2"/>
  <c r="R89" i="2"/>
  <c r="AB89" i="2"/>
  <c r="AC89" i="2"/>
  <c r="P90" i="2"/>
  <c r="Q90" i="2"/>
  <c r="R90" i="2"/>
  <c r="AB90" i="2"/>
  <c r="AC90" i="2"/>
  <c r="P91" i="2"/>
  <c r="Q91" i="2"/>
  <c r="R91" i="2"/>
  <c r="AB91" i="2"/>
  <c r="AC91" i="2"/>
  <c r="P92" i="2"/>
  <c r="Q92" i="2"/>
  <c r="R92" i="2"/>
  <c r="AB92" i="2"/>
  <c r="AC92" i="2"/>
  <c r="P93" i="2"/>
  <c r="Q93" i="2"/>
  <c r="R93" i="2"/>
  <c r="AB93" i="2"/>
  <c r="AC93" i="2"/>
  <c r="H44" i="3"/>
  <c r="E8" i="3"/>
  <c r="H45" i="3"/>
  <c r="H43" i="3"/>
  <c r="E9" i="3"/>
  <c r="E10" i="3"/>
  <c r="K53" i="3"/>
  <c r="H51" i="3"/>
  <c r="M53" i="3"/>
  <c r="K25" i="3"/>
  <c r="H34" i="3"/>
  <c r="M25" i="3"/>
  <c r="E20" i="3"/>
  <c r="E21" i="3"/>
  <c r="E22" i="3"/>
  <c r="C20" i="3"/>
  <c r="C21" i="3"/>
  <c r="C22" i="3"/>
  <c r="D20" i="3"/>
  <c r="D21" i="3"/>
  <c r="D22" i="3"/>
  <c r="K11" i="3"/>
  <c r="H15" i="3"/>
  <c r="M11" i="3"/>
  <c r="M15" i="3"/>
  <c r="E14" i="3"/>
  <c r="E16" i="3"/>
  <c r="E15" i="3"/>
  <c r="L52" i="3"/>
  <c r="L44" i="3"/>
  <c r="L48" i="3"/>
  <c r="K52" i="3"/>
  <c r="M52" i="3"/>
  <c r="M44" i="3"/>
  <c r="M48" i="3"/>
  <c r="K51" i="3"/>
  <c r="M51" i="3"/>
  <c r="M43" i="3"/>
  <c r="M47" i="3"/>
  <c r="L51" i="3"/>
  <c r="L43" i="3"/>
  <c r="L47" i="3"/>
  <c r="M45" i="3"/>
  <c r="M49" i="3"/>
  <c r="L53" i="3"/>
  <c r="L45" i="3"/>
  <c r="L49" i="3"/>
  <c r="K42" i="3"/>
  <c r="K41" i="3"/>
  <c r="M42" i="3"/>
  <c r="M41" i="3"/>
  <c r="L42" i="3"/>
  <c r="L41" i="3"/>
  <c r="K10" i="3"/>
  <c r="M10" i="3"/>
  <c r="M14" i="3"/>
  <c r="K9" i="3"/>
  <c r="M9" i="3"/>
  <c r="M13" i="3"/>
  <c r="K8" i="3"/>
  <c r="K7" i="3"/>
  <c r="M8" i="3"/>
  <c r="M7" i="3"/>
  <c r="L11" i="3"/>
  <c r="L15" i="3"/>
  <c r="L10" i="3"/>
  <c r="L14" i="3"/>
  <c r="L9" i="3"/>
  <c r="L13" i="3"/>
  <c r="L8" i="3"/>
  <c r="L7" i="3"/>
  <c r="M29" i="3"/>
  <c r="K24" i="3"/>
  <c r="M24" i="3"/>
  <c r="M28" i="3"/>
  <c r="K23" i="3"/>
  <c r="M23" i="3"/>
  <c r="M27" i="3"/>
  <c r="K22" i="3"/>
  <c r="K21" i="3"/>
  <c r="M22" i="3"/>
  <c r="M21" i="3"/>
  <c r="L25" i="3"/>
  <c r="L29" i="3"/>
  <c r="L24" i="3"/>
  <c r="L28" i="3"/>
  <c r="L23" i="3"/>
  <c r="L27" i="3"/>
  <c r="L22" i="3"/>
  <c r="L21" i="3"/>
  <c r="H35" i="3"/>
  <c r="F7" i="4"/>
  <c r="F16" i="4"/>
  <c r="G7" i="4"/>
  <c r="G16" i="4"/>
  <c r="H7" i="4"/>
  <c r="H16" i="4"/>
  <c r="I7" i="4"/>
  <c r="I16" i="4"/>
  <c r="J7" i="4"/>
  <c r="J16" i="4"/>
  <c r="F17" i="4"/>
  <c r="G17" i="4"/>
  <c r="H17" i="4"/>
  <c r="I17" i="4"/>
  <c r="J17" i="4"/>
  <c r="F18" i="4"/>
  <c r="G18" i="4"/>
  <c r="H18" i="4"/>
  <c r="I18" i="4"/>
  <c r="J18" i="4"/>
  <c r="F19" i="4"/>
  <c r="G19" i="4"/>
  <c r="H19" i="4"/>
  <c r="I19" i="4"/>
  <c r="J19" i="4"/>
  <c r="F20" i="4"/>
  <c r="G20" i="4"/>
  <c r="H20" i="4"/>
  <c r="I20" i="4"/>
  <c r="J20" i="4"/>
  <c r="F21" i="4"/>
  <c r="G21" i="4"/>
  <c r="H21" i="4"/>
  <c r="I21" i="4"/>
  <c r="J21" i="4"/>
  <c r="F22" i="4"/>
  <c r="G22" i="4"/>
  <c r="H22" i="4"/>
  <c r="I22" i="4"/>
  <c r="J22" i="4"/>
  <c r="F23" i="4"/>
  <c r="G23" i="4"/>
  <c r="H23" i="4"/>
  <c r="I23" i="4"/>
  <c r="J23" i="4"/>
  <c r="F24" i="4"/>
  <c r="G24" i="4"/>
  <c r="H24" i="4"/>
  <c r="I24" i="4"/>
  <c r="J24" i="4"/>
  <c r="F25" i="4"/>
  <c r="G25" i="4"/>
  <c r="H25" i="4"/>
  <c r="I25" i="4"/>
  <c r="J25" i="4"/>
  <c r="F26" i="4"/>
  <c r="G26" i="4"/>
  <c r="H26" i="4"/>
  <c r="I26" i="4"/>
  <c r="J26" i="4"/>
  <c r="F27" i="4"/>
  <c r="G27" i="4"/>
  <c r="H27" i="4"/>
  <c r="I27" i="4"/>
  <c r="J27" i="4"/>
  <c r="F28" i="4"/>
  <c r="G28" i="4"/>
  <c r="H28" i="4"/>
  <c r="I28" i="4"/>
  <c r="J28" i="4"/>
  <c r="F29" i="4"/>
  <c r="G29" i="4"/>
  <c r="H29" i="4"/>
  <c r="I29" i="4"/>
  <c r="J29" i="4"/>
  <c r="F30" i="4"/>
  <c r="G30" i="4"/>
  <c r="H30" i="4"/>
  <c r="I30" i="4"/>
  <c r="J30" i="4"/>
  <c r="F31" i="4"/>
  <c r="G31" i="4"/>
  <c r="H31" i="4"/>
  <c r="I31" i="4"/>
  <c r="J31" i="4"/>
  <c r="F32" i="4"/>
  <c r="G32" i="4"/>
  <c r="H32" i="4"/>
  <c r="I32" i="4"/>
  <c r="J32" i="4"/>
  <c r="F33" i="4"/>
  <c r="G33" i="4"/>
  <c r="H33" i="4"/>
  <c r="I33" i="4"/>
  <c r="J33" i="4"/>
  <c r="F34" i="4"/>
  <c r="G34" i="4"/>
  <c r="H34" i="4"/>
  <c r="I34" i="4"/>
  <c r="J34" i="4"/>
  <c r="F35" i="4"/>
  <c r="G35" i="4"/>
  <c r="H35" i="4"/>
  <c r="I35" i="4"/>
  <c r="J35" i="4"/>
  <c r="F36" i="4"/>
  <c r="G36" i="4"/>
  <c r="H36" i="4"/>
  <c r="I36" i="4"/>
  <c r="J36" i="4"/>
  <c r="F37" i="4"/>
  <c r="G37" i="4"/>
  <c r="H37" i="4"/>
  <c r="I37" i="4"/>
  <c r="J37" i="4"/>
  <c r="F38" i="4"/>
  <c r="G38" i="4"/>
  <c r="H38" i="4"/>
  <c r="I38" i="4"/>
  <c r="J38" i="4"/>
  <c r="F39" i="4"/>
  <c r="G39" i="4"/>
  <c r="H39" i="4"/>
  <c r="I39" i="4"/>
  <c r="J39" i="4"/>
  <c r="F40" i="4"/>
  <c r="G40" i="4"/>
  <c r="H40" i="4"/>
  <c r="I40" i="4"/>
  <c r="J40" i="4"/>
  <c r="F41" i="4"/>
  <c r="G41" i="4"/>
  <c r="H41" i="4"/>
  <c r="I41" i="4"/>
  <c r="J41" i="4"/>
  <c r="F42" i="4"/>
  <c r="G42" i="4"/>
  <c r="H42" i="4"/>
  <c r="I42" i="4"/>
  <c r="J42" i="4"/>
  <c r="F43" i="4"/>
  <c r="G43" i="4"/>
  <c r="H43" i="4"/>
  <c r="I43" i="4"/>
  <c r="J43" i="4"/>
  <c r="F44" i="4"/>
  <c r="G44" i="4"/>
  <c r="H44" i="4"/>
  <c r="I44" i="4"/>
  <c r="J44" i="4"/>
  <c r="F45" i="4"/>
  <c r="G45" i="4"/>
  <c r="H45" i="4"/>
  <c r="I45" i="4"/>
  <c r="J45" i="4"/>
  <c r="F46" i="4"/>
  <c r="G46" i="4"/>
  <c r="H46" i="4"/>
  <c r="I46" i="4"/>
  <c r="J46" i="4"/>
  <c r="F47" i="4"/>
  <c r="G47" i="4"/>
  <c r="H47" i="4"/>
  <c r="I47" i="4"/>
  <c r="J47" i="4"/>
  <c r="F48" i="4"/>
  <c r="G48" i="4"/>
  <c r="H48" i="4"/>
  <c r="I48" i="4"/>
  <c r="J48" i="4"/>
  <c r="F49" i="4"/>
  <c r="G49" i="4"/>
  <c r="H49" i="4"/>
  <c r="I49" i="4"/>
  <c r="J49" i="4"/>
  <c r="F50" i="4"/>
  <c r="G50" i="4"/>
  <c r="H50" i="4"/>
  <c r="I50" i="4"/>
  <c r="J50" i="4"/>
  <c r="F51" i="4"/>
  <c r="G51" i="4"/>
  <c r="H51" i="4"/>
  <c r="I51" i="4"/>
  <c r="J51" i="4"/>
  <c r="F52" i="4"/>
  <c r="G52" i="4"/>
  <c r="H52" i="4"/>
  <c r="I52" i="4"/>
  <c r="J52" i="4"/>
  <c r="F53" i="4"/>
  <c r="G53" i="4"/>
  <c r="H53" i="4"/>
  <c r="I53" i="4"/>
  <c r="J53" i="4"/>
  <c r="F54" i="4"/>
  <c r="G54" i="4"/>
  <c r="H54" i="4"/>
  <c r="I54" i="4"/>
  <c r="J54" i="4"/>
  <c r="F55" i="4"/>
  <c r="G55" i="4"/>
  <c r="H55" i="4"/>
  <c r="I55" i="4"/>
  <c r="J55" i="4"/>
  <c r="F56" i="4"/>
  <c r="G56" i="4"/>
  <c r="H56" i="4"/>
  <c r="I56" i="4"/>
  <c r="J56" i="4"/>
  <c r="F57" i="4"/>
  <c r="G57" i="4"/>
  <c r="H57" i="4"/>
  <c r="I57" i="4"/>
  <c r="J57" i="4"/>
  <c r="F58" i="4"/>
  <c r="G58" i="4"/>
  <c r="H58" i="4"/>
  <c r="I58" i="4"/>
  <c r="J58" i="4"/>
  <c r="P11" i="2"/>
  <c r="Q11" i="2"/>
  <c r="R11" i="2"/>
  <c r="AB11" i="2"/>
  <c r="AC11" i="2"/>
  <c r="P12" i="2"/>
  <c r="Q12" i="2"/>
  <c r="R12" i="2"/>
  <c r="AB12" i="2"/>
  <c r="AC12" i="2"/>
  <c r="P13" i="2"/>
  <c r="Q13" i="2"/>
  <c r="R13" i="2"/>
  <c r="AB13" i="2"/>
  <c r="AC13" i="2"/>
  <c r="P14" i="2"/>
  <c r="Q14" i="2"/>
  <c r="R14" i="2"/>
  <c r="AB14" i="2"/>
  <c r="AC14" i="2"/>
  <c r="P15" i="2"/>
  <c r="Q15" i="2"/>
  <c r="R15" i="2"/>
  <c r="AB15" i="2"/>
  <c r="AC15" i="2"/>
  <c r="P16" i="2"/>
  <c r="Q16" i="2"/>
  <c r="R16" i="2"/>
  <c r="AB16" i="2"/>
  <c r="AC16" i="2"/>
  <c r="P17" i="2"/>
  <c r="Q17" i="2"/>
  <c r="R17" i="2"/>
  <c r="AB17" i="2"/>
  <c r="AC17" i="2"/>
  <c r="P18" i="2"/>
  <c r="Q18" i="2"/>
  <c r="R18" i="2"/>
  <c r="AB18" i="2"/>
  <c r="AC18" i="2"/>
  <c r="P19" i="2"/>
  <c r="Q19" i="2"/>
  <c r="R19" i="2"/>
  <c r="AB19" i="2"/>
  <c r="AC19" i="2"/>
  <c r="P25" i="2"/>
  <c r="Q25" i="2"/>
  <c r="R25" i="2"/>
  <c r="AB25" i="2"/>
  <c r="AC25" i="2"/>
  <c r="P26" i="2"/>
  <c r="Q26" i="2"/>
  <c r="R26" i="2"/>
  <c r="AB26" i="2"/>
  <c r="AC26" i="2"/>
  <c r="P27" i="2"/>
  <c r="Q27" i="2"/>
  <c r="R27" i="2"/>
  <c r="AB27" i="2"/>
  <c r="AC27" i="2"/>
  <c r="P28" i="2"/>
  <c r="Q28" i="2"/>
  <c r="R28" i="2"/>
  <c r="AB28" i="2"/>
  <c r="AC28" i="2"/>
  <c r="P29" i="2"/>
  <c r="Q29" i="2"/>
  <c r="R29" i="2"/>
  <c r="AB29" i="2"/>
  <c r="AC29" i="2"/>
  <c r="P30" i="2"/>
  <c r="Q30" i="2"/>
  <c r="R30" i="2"/>
  <c r="AB30" i="2"/>
  <c r="AC30" i="2"/>
  <c r="P31" i="2"/>
  <c r="Q31" i="2"/>
  <c r="R31" i="2"/>
  <c r="AB31" i="2"/>
  <c r="AC31" i="2"/>
  <c r="P32" i="2"/>
  <c r="Q32" i="2"/>
  <c r="R32" i="2"/>
  <c r="AB32" i="2"/>
  <c r="AC32" i="2"/>
  <c r="P33" i="2"/>
  <c r="Q33" i="2"/>
  <c r="R33" i="2"/>
  <c r="AB33" i="2"/>
  <c r="AC33" i="2"/>
  <c r="P39" i="2"/>
  <c r="Q39" i="2"/>
  <c r="R39" i="2"/>
  <c r="AB39" i="2"/>
  <c r="AC39" i="2"/>
  <c r="P40" i="2"/>
  <c r="Q40" i="2"/>
  <c r="R40" i="2"/>
  <c r="AB40" i="2"/>
  <c r="AC40" i="2"/>
  <c r="P41" i="2"/>
  <c r="Q41" i="2"/>
  <c r="R41" i="2"/>
  <c r="AB41" i="2"/>
  <c r="AC41" i="2"/>
  <c r="P42" i="2"/>
  <c r="Q42" i="2"/>
  <c r="R42" i="2"/>
  <c r="AB42" i="2"/>
  <c r="AC42" i="2"/>
  <c r="P43" i="2"/>
  <c r="Q43" i="2"/>
  <c r="R43" i="2"/>
  <c r="AB43" i="2"/>
  <c r="AC43" i="2"/>
  <c r="P44" i="2"/>
  <c r="Q44" i="2"/>
  <c r="R44" i="2"/>
  <c r="AB44" i="2"/>
  <c r="AC44" i="2"/>
  <c r="P45" i="2"/>
  <c r="Q45" i="2"/>
  <c r="R45" i="2"/>
  <c r="AB45" i="2"/>
  <c r="AC45" i="2"/>
  <c r="P46" i="2"/>
  <c r="Q46" i="2"/>
  <c r="R46" i="2"/>
  <c r="AB46" i="2"/>
  <c r="AC46" i="2"/>
  <c r="P47" i="2"/>
  <c r="Q47" i="2"/>
  <c r="R47" i="2"/>
  <c r="AB47" i="2"/>
  <c r="AC47" i="2"/>
  <c r="F9" i="4"/>
  <c r="I8" i="1"/>
  <c r="I9" i="1"/>
  <c r="I10" i="1"/>
  <c r="I11" i="1"/>
  <c r="I12" i="1"/>
  <c r="C19" i="1"/>
  <c r="C16" i="1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9" i="4"/>
  <c r="H9" i="4"/>
  <c r="I9" i="4"/>
  <c r="J9" i="4"/>
  <c r="F10" i="4"/>
  <c r="F11" i="4"/>
  <c r="F12" i="4"/>
  <c r="F13" i="4"/>
  <c r="F14" i="4"/>
  <c r="F15" i="4"/>
</calcChain>
</file>

<file path=xl/sharedStrings.xml><?xml version="1.0" encoding="utf-8"?>
<sst xmlns="http://schemas.openxmlformats.org/spreadsheetml/2006/main" count="238" uniqueCount="104">
  <si>
    <t>Dividend</t>
  </si>
  <si>
    <t>Call</t>
  </si>
  <si>
    <t>Spot Price (Spot):</t>
  </si>
  <si>
    <t>Strike (K):</t>
  </si>
  <si>
    <t>Volatility (sigma):</t>
  </si>
  <si>
    <t>Risk-Free Rate (r):</t>
  </si>
  <si>
    <t>Option Type (Call/Put):</t>
  </si>
  <si>
    <t>Time to Maturity (T):</t>
  </si>
  <si>
    <t>Time from Spot</t>
  </si>
  <si>
    <t>Discount Rate</t>
  </si>
  <si>
    <t>Dividend Schedule (Starting from the latest)</t>
  </si>
  <si>
    <t>Option Price:</t>
  </si>
  <si>
    <t>Option Style (Amer/Euro):</t>
  </si>
  <si>
    <t>Euro</t>
  </si>
  <si>
    <t>Amer</t>
  </si>
  <si>
    <t>Parameters</t>
  </si>
  <si>
    <t>Asset-or-Nothing Option Under Black-Scholes Model</t>
  </si>
  <si>
    <t>Values</t>
  </si>
  <si>
    <t>Rho:</t>
  </si>
  <si>
    <t>Strike</t>
  </si>
  <si>
    <t>Gamma:</t>
  </si>
  <si>
    <t>Lambda:</t>
  </si>
  <si>
    <t>Kappa:</t>
  </si>
  <si>
    <t>Theta:</t>
  </si>
  <si>
    <t>Time to Maturity:</t>
  </si>
  <si>
    <t>Strike:</t>
  </si>
  <si>
    <t>Spot:</t>
  </si>
  <si>
    <t>Risk-Free Rate:</t>
  </si>
  <si>
    <t>No.</t>
  </si>
  <si>
    <t>Option Tyle (Call/Put):</t>
  </si>
  <si>
    <t>Implied Vol.</t>
  </si>
  <si>
    <t>Part (i)</t>
  </si>
  <si>
    <t>Part (iii)</t>
  </si>
  <si>
    <t>Initial Variance:</t>
  </si>
  <si>
    <t>Option Price</t>
  </si>
  <si>
    <t>Lower Range of Volatility:</t>
  </si>
  <si>
    <t>Upper Range of Volatility:</t>
  </si>
  <si>
    <t>Heston SV Model (Trapezoidal Rule with Combined Integrand)</t>
  </si>
  <si>
    <t>Heston SV Option Price</t>
  </si>
  <si>
    <t>Black-Scholes Impied Volatility</t>
  </si>
  <si>
    <t>Difference (Ref Rho = 0)</t>
  </si>
  <si>
    <t>Greeks</t>
  </si>
  <si>
    <t>European Heston SV Model and Sensitivity Analysis on Non-Dividend Paying Option</t>
  </si>
  <si>
    <t>Results</t>
  </si>
  <si>
    <t>Difference (Ref Gamma = 0.01)</t>
  </si>
  <si>
    <t>Difference (Ref Lambda = 0)</t>
  </si>
  <si>
    <t>Result</t>
  </si>
  <si>
    <t>(Annually)</t>
  </si>
  <si>
    <t>Perturbation:</t>
  </si>
  <si>
    <t>BS Price:</t>
  </si>
  <si>
    <t>Difference in Implied Volatility</t>
  </si>
  <si>
    <t>Price Difference (Gquad -Trape)</t>
  </si>
  <si>
    <t>Gram-Charlier Price:</t>
  </si>
  <si>
    <t>1-Mth Skewness:</t>
  </si>
  <si>
    <t>1-Mth Kurtosis:</t>
  </si>
  <si>
    <t>Volatility:</t>
  </si>
  <si>
    <t>Heston SV Model Option Price Difference ( 10-Pt GL Quadrature - Trapezoidal)</t>
  </si>
  <si>
    <t>Heston Price (10-Pt GLQuad):</t>
  </si>
  <si>
    <t>`</t>
  </si>
  <si>
    <t>1-Mth Volatility:</t>
  </si>
  <si>
    <t>1-Mth Risk-Free Rate:</t>
  </si>
  <si>
    <t>Time to Maturity in Mth:</t>
  </si>
  <si>
    <t>Heston Price (Trapezoidal):</t>
  </si>
  <si>
    <t>Delta  (Δ):</t>
  </si>
  <si>
    <t>Gamma  (Γ):</t>
  </si>
  <si>
    <r>
      <t>Vega  (</t>
    </r>
    <r>
      <rPr>
        <b/>
        <i/>
        <sz val="12"/>
        <rFont val="Arial"/>
        <family val="2"/>
      </rPr>
      <t>V</t>
    </r>
    <r>
      <rPr>
        <b/>
        <sz val="12"/>
        <rFont val="Arial"/>
        <family val="2"/>
      </rPr>
      <t>):</t>
    </r>
  </si>
  <si>
    <t>Rho  (ρ):</t>
  </si>
  <si>
    <t>Theta  (Θ):</t>
  </si>
  <si>
    <t>Vega Per %</t>
  </si>
  <si>
    <t>Rho Per %</t>
  </si>
  <si>
    <t>Theta Per Day</t>
  </si>
  <si>
    <t>Price with Peturbation</t>
  </si>
  <si>
    <r>
      <t>Mthly Vega  (</t>
    </r>
    <r>
      <rPr>
        <b/>
        <i/>
        <sz val="12"/>
        <rFont val="Arial"/>
        <family val="2"/>
      </rPr>
      <t>V</t>
    </r>
    <r>
      <rPr>
        <b/>
        <sz val="12"/>
        <rFont val="Arial"/>
        <family val="2"/>
      </rPr>
      <t>):</t>
    </r>
  </si>
  <si>
    <t>Mthly Rho  (ρ):</t>
  </si>
  <si>
    <t>Mthly Theta  (Θ):</t>
  </si>
  <si>
    <t>Calculation of Greeks</t>
  </si>
  <si>
    <t>Heston-SV Model</t>
  </si>
  <si>
    <t>Gram-Charlier Model</t>
  </si>
  <si>
    <t>Euopean DO Call Option Pricing</t>
  </si>
  <si>
    <t>Spot</t>
  </si>
  <si>
    <t>Barrier</t>
  </si>
  <si>
    <t>Maturity</t>
  </si>
  <si>
    <t>Interest</t>
  </si>
  <si>
    <t>Volatility</t>
  </si>
  <si>
    <t>Steps</t>
  </si>
  <si>
    <t>CallPut</t>
  </si>
  <si>
    <t>DO</t>
  </si>
  <si>
    <t>Hourly</t>
  </si>
  <si>
    <t>Daily</t>
  </si>
  <si>
    <t>Weekly</t>
  </si>
  <si>
    <t>Monthly</t>
  </si>
  <si>
    <t>Continuously</t>
  </si>
  <si>
    <t>Heston SV Model (10-Pt Gauss. Legendre Quadrature with Combined Integrand)</t>
  </si>
  <si>
    <t>Heston SV Option Price &amp; Black-Scholes Implied Volatility</t>
  </si>
  <si>
    <t>Adj. Barrier:</t>
  </si>
  <si>
    <t>Black-Scholes Model</t>
  </si>
  <si>
    <t>Option Type</t>
  </si>
  <si>
    <t>Mon. Frequency:</t>
  </si>
  <si>
    <t>European Down-Out Call Option Prices Across Monitoring Frequencies</t>
  </si>
  <si>
    <t>Adj. Dividend Schedule (For Theta Calculation)</t>
  </si>
  <si>
    <t>Adj. Dividend Schedule (For Rho Calculation)</t>
  </si>
  <si>
    <t>Closed Form Greeks</t>
  </si>
  <si>
    <t>Finite Difference Greeks</t>
  </si>
  <si>
    <t>Calculation of Greeks (HSV with Trapezoidal)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</si>
</sst>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[$£-809]* #,##0.00_-;\-[$£-809]* #,##0.00_-;_-[$£-809]* &quot;-&quot;??_-;_-@_-"/>
    <numFmt numFmtId="165" formatCode="0.0000"/>
    <numFmt numFmtId="166" formatCode="0.000"/>
    <numFmt numFmtId="167" formatCode="0.000%"/>
  </numFmts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b/>
      <sz val="14"/>
      <color theme="1"/>
      <name val="Arial"/>
      <family val="2"/>
    </font>
    <font>
      <b/>
      <u/>
      <sz val="12"/>
      <color theme="1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sz val="12"/>
      <color rgb="FF000000"/>
      <name val="Calibri"/>
      <family val="2"/>
    </font>
    <font>
      <u/>
      <sz val="12"/>
      <color theme="1"/>
      <name val="Arial"/>
      <family val="2"/>
    </font>
    <font>
      <b/>
      <u/>
      <sz val="1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i/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67">
    <xf numFmtId="0" fontId="0" fillId="0" borderId="0" xfId="0"/>
    <xf numFmtId="0" fontId="4" fillId="0" borderId="0" xfId="0" applyFont="1"/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Fill="1"/>
    <xf numFmtId="0" fontId="7" fillId="0" borderId="0" xfId="0" applyFont="1"/>
    <xf numFmtId="0" fontId="7" fillId="0" borderId="0" xfId="33" applyFont="1"/>
    <xf numFmtId="0" fontId="8" fillId="9" borderId="0" xfId="33" applyFont="1" applyFill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right"/>
    </xf>
    <xf numFmtId="164" fontId="5" fillId="0" borderId="7" xfId="0" applyNumberFormat="1" applyFont="1" applyFill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7" xfId="0" applyFont="1" applyFill="1" applyBorder="1" applyAlignment="1">
      <alignment horizontal="center"/>
    </xf>
    <xf numFmtId="0" fontId="5" fillId="0" borderId="8" xfId="0" applyFont="1" applyFill="1" applyBorder="1" applyAlignment="1">
      <alignment horizontal="right"/>
    </xf>
    <xf numFmtId="164" fontId="5" fillId="0" borderId="9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4" xfId="0" applyFont="1" applyFill="1" applyBorder="1" applyAlignment="1">
      <alignment horizontal="left"/>
    </xf>
    <xf numFmtId="0" fontId="4" fillId="0" borderId="6" xfId="0" applyFont="1" applyFill="1" applyBorder="1" applyAlignment="1">
      <alignment horizontal="left"/>
    </xf>
    <xf numFmtId="165" fontId="4" fillId="0" borderId="0" xfId="0" applyNumberFormat="1" applyFont="1" applyAlignment="1">
      <alignment horizontal="center"/>
    </xf>
    <xf numFmtId="0" fontId="5" fillId="0" borderId="0" xfId="0" applyFont="1"/>
    <xf numFmtId="2" fontId="4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4" fillId="11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4" fillId="0" borderId="0" xfId="0" applyFont="1" applyBorder="1"/>
    <xf numFmtId="165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4" fillId="0" borderId="4" xfId="0" applyFont="1" applyBorder="1"/>
    <xf numFmtId="0" fontId="13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0" borderId="6" xfId="0" applyFont="1" applyBorder="1"/>
    <xf numFmtId="165" fontId="4" fillId="0" borderId="7" xfId="0" applyNumberFormat="1" applyFont="1" applyBorder="1" applyAlignment="1">
      <alignment horizontal="center"/>
    </xf>
    <xf numFmtId="165" fontId="4" fillId="11" borderId="7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65" fontId="4" fillId="0" borderId="7" xfId="0" applyNumberFormat="1" applyFont="1" applyFill="1" applyBorder="1" applyAlignment="1">
      <alignment horizontal="center"/>
    </xf>
    <xf numFmtId="167" fontId="4" fillId="11" borderId="0" xfId="0" applyNumberFormat="1" applyFont="1" applyFill="1" applyAlignment="1">
      <alignment horizontal="center"/>
    </xf>
    <xf numFmtId="0" fontId="9" fillId="0" borderId="6" xfId="0" applyFont="1" applyFill="1" applyBorder="1"/>
    <xf numFmtId="165" fontId="11" fillId="0" borderId="0" xfId="0" applyNumberFormat="1" applyFont="1" applyFill="1" applyBorder="1" applyAlignment="1">
      <alignment horizontal="center"/>
    </xf>
    <xf numFmtId="0" fontId="11" fillId="0" borderId="6" xfId="0" applyFont="1" applyFill="1" applyBorder="1"/>
    <xf numFmtId="0" fontId="11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" fillId="0" borderId="0" xfId="33" applyFont="1"/>
    <xf numFmtId="0" fontId="4" fillId="0" borderId="0" xfId="33" applyFont="1"/>
    <xf numFmtId="0" fontId="4" fillId="0" borderId="0" xfId="33" applyFont="1" applyAlignment="1">
      <alignment horizontal="center"/>
    </xf>
    <xf numFmtId="0" fontId="5" fillId="0" borderId="0" xfId="33" applyFont="1" applyAlignment="1">
      <alignment horizontal="center"/>
    </xf>
    <xf numFmtId="0" fontId="5" fillId="9" borderId="0" xfId="33" applyFont="1" applyFill="1" applyAlignment="1">
      <alignment horizontal="center"/>
    </xf>
    <xf numFmtId="0" fontId="4" fillId="3" borderId="0" xfId="33" applyFont="1" applyFill="1"/>
    <xf numFmtId="0" fontId="5" fillId="3" borderId="0" xfId="33" applyFont="1" applyFill="1" applyAlignment="1">
      <alignment horizontal="center"/>
    </xf>
    <xf numFmtId="0" fontId="5" fillId="9" borderId="0" xfId="33" applyFont="1" applyFill="1"/>
    <xf numFmtId="0" fontId="4" fillId="9" borderId="0" xfId="33" applyFont="1" applyFill="1"/>
    <xf numFmtId="0" fontId="4" fillId="9" borderId="0" xfId="33" applyFont="1" applyFill="1" applyAlignment="1">
      <alignment horizontal="center"/>
    </xf>
    <xf numFmtId="0" fontId="4" fillId="3" borderId="0" xfId="33" applyFont="1" applyFill="1" applyAlignment="1">
      <alignment horizontal="center"/>
    </xf>
    <xf numFmtId="0" fontId="5" fillId="5" borderId="0" xfId="33" applyFont="1" applyFill="1" applyAlignment="1">
      <alignment horizontal="center"/>
    </xf>
    <xf numFmtId="0" fontId="4" fillId="5" borderId="2" xfId="33" applyFont="1" applyFill="1" applyBorder="1" applyAlignment="1">
      <alignment horizontal="center"/>
    </xf>
    <xf numFmtId="0" fontId="4" fillId="5" borderId="0" xfId="33" applyFont="1" applyFill="1"/>
    <xf numFmtId="0" fontId="4" fillId="5" borderId="0" xfId="33" applyFont="1" applyFill="1" applyAlignment="1">
      <alignment horizontal="center"/>
    </xf>
    <xf numFmtId="0" fontId="5" fillId="5" borderId="0" xfId="33" applyFont="1" applyFill="1"/>
    <xf numFmtId="0" fontId="5" fillId="3" borderId="0" xfId="33" applyFont="1" applyFill="1"/>
    <xf numFmtId="0" fontId="4" fillId="9" borderId="0" xfId="33" applyFont="1" applyFill="1" applyAlignment="1">
      <alignment horizontal="left"/>
    </xf>
    <xf numFmtId="0" fontId="5" fillId="8" borderId="0" xfId="33" applyFont="1" applyFill="1" applyAlignment="1">
      <alignment horizontal="center"/>
    </xf>
    <xf numFmtId="0" fontId="5" fillId="8" borderId="0" xfId="33" applyFont="1" applyFill="1"/>
    <xf numFmtId="0" fontId="4" fillId="8" borderId="0" xfId="33" applyFont="1" applyFill="1" applyAlignment="1">
      <alignment horizontal="center"/>
    </xf>
    <xf numFmtId="165" fontId="4" fillId="8" borderId="0" xfId="33" applyNumberFormat="1" applyFont="1" applyFill="1" applyAlignment="1">
      <alignment horizontal="center"/>
    </xf>
    <xf numFmtId="165" fontId="4" fillId="9" borderId="0" xfId="33" applyNumberFormat="1" applyFont="1" applyFill="1" applyAlignment="1">
      <alignment horizontal="center"/>
    </xf>
    <xf numFmtId="165" fontId="4" fillId="0" borderId="0" xfId="33" applyNumberFormat="1" applyFont="1" applyAlignment="1">
      <alignment horizontal="center"/>
    </xf>
    <xf numFmtId="165" fontId="4" fillId="3" borderId="0" xfId="33" applyNumberFormat="1" applyFont="1" applyFill="1" applyAlignment="1">
      <alignment horizontal="center"/>
    </xf>
    <xf numFmtId="165" fontId="4" fillId="5" borderId="0" xfId="33" applyNumberFormat="1" applyFont="1" applyFill="1" applyAlignment="1">
      <alignment horizontal="center"/>
    </xf>
    <xf numFmtId="165" fontId="4" fillId="5" borderId="0" xfId="33" applyNumberFormat="1" applyFont="1" applyFill="1"/>
    <xf numFmtId="0" fontId="4" fillId="8" borderId="0" xfId="33" applyFont="1" applyFill="1"/>
    <xf numFmtId="166" fontId="5" fillId="9" borderId="0" xfId="33" applyNumberFormat="1" applyFont="1" applyFill="1" applyAlignment="1">
      <alignment horizontal="center"/>
    </xf>
    <xf numFmtId="0" fontId="5" fillId="9" borderId="0" xfId="33" applyFont="1" applyFill="1" applyAlignment="1">
      <alignment horizontal="right"/>
    </xf>
    <xf numFmtId="0" fontId="15" fillId="5" borderId="0" xfId="33" applyFont="1" applyFill="1" applyAlignment="1">
      <alignment horizontal="center"/>
    </xf>
    <xf numFmtId="0" fontId="16" fillId="5" borderId="2" xfId="33" applyFont="1" applyFill="1" applyBorder="1" applyAlignment="1">
      <alignment horizontal="center"/>
    </xf>
    <xf numFmtId="0" fontId="16" fillId="5" borderId="0" xfId="33" applyFont="1" applyFill="1" applyAlignment="1">
      <alignment horizontal="center"/>
    </xf>
    <xf numFmtId="0" fontId="4" fillId="7" borderId="0" xfId="33" applyFont="1" applyFill="1"/>
    <xf numFmtId="0" fontId="5" fillId="7" borderId="0" xfId="33" applyFont="1" applyFill="1" applyAlignment="1">
      <alignment horizontal="center"/>
    </xf>
    <xf numFmtId="0" fontId="4" fillId="7" borderId="0" xfId="33" applyFont="1" applyFill="1" applyAlignment="1">
      <alignment horizontal="center"/>
    </xf>
    <xf numFmtId="0" fontId="5" fillId="2" borderId="0" xfId="33" applyFont="1" applyFill="1" applyAlignment="1">
      <alignment horizontal="center"/>
    </xf>
    <xf numFmtId="0" fontId="4" fillId="2" borderId="2" xfId="33" applyFont="1" applyFill="1" applyBorder="1" applyAlignment="1">
      <alignment horizontal="center"/>
    </xf>
    <xf numFmtId="0" fontId="4" fillId="2" borderId="0" xfId="33" applyFont="1" applyFill="1"/>
    <xf numFmtId="0" fontId="4" fillId="2" borderId="0" xfId="33" applyFont="1" applyFill="1" applyAlignment="1">
      <alignment horizontal="center"/>
    </xf>
    <xf numFmtId="165" fontId="4" fillId="2" borderId="0" xfId="33" applyNumberFormat="1" applyFont="1" applyFill="1" applyAlignment="1">
      <alignment horizontal="center"/>
    </xf>
    <xf numFmtId="165" fontId="4" fillId="2" borderId="0" xfId="33" applyNumberFormat="1" applyFont="1" applyFill="1"/>
    <xf numFmtId="0" fontId="5" fillId="7" borderId="0" xfId="33" applyFont="1" applyFill="1"/>
    <xf numFmtId="0" fontId="5" fillId="2" borderId="0" xfId="33" applyFont="1" applyFill="1"/>
    <xf numFmtId="0" fontId="15" fillId="2" borderId="0" xfId="33" applyFont="1" applyFill="1" applyAlignment="1">
      <alignment horizontal="center"/>
    </xf>
    <xf numFmtId="0" fontId="16" fillId="2" borderId="2" xfId="33" applyFont="1" applyFill="1" applyBorder="1" applyAlignment="1">
      <alignment horizontal="center"/>
    </xf>
    <xf numFmtId="0" fontId="16" fillId="2" borderId="0" xfId="33" applyFont="1" applyFill="1" applyAlignment="1">
      <alignment horizontal="center"/>
    </xf>
    <xf numFmtId="0" fontId="4" fillId="4" borderId="0" xfId="33" applyFont="1" applyFill="1"/>
    <xf numFmtId="0" fontId="5" fillId="4" borderId="0" xfId="33" applyFont="1" applyFill="1" applyAlignment="1">
      <alignment horizontal="center"/>
    </xf>
    <xf numFmtId="0" fontId="4" fillId="4" borderId="0" xfId="33" applyFont="1" applyFill="1" applyAlignment="1">
      <alignment horizontal="center"/>
    </xf>
    <xf numFmtId="0" fontId="5" fillId="6" borderId="0" xfId="33" applyFont="1" applyFill="1" applyAlignment="1">
      <alignment horizontal="center"/>
    </xf>
    <xf numFmtId="0" fontId="4" fillId="6" borderId="2" xfId="33" applyFont="1" applyFill="1" applyBorder="1" applyAlignment="1">
      <alignment horizontal="center"/>
    </xf>
    <xf numFmtId="0" fontId="4" fillId="6" borderId="0" xfId="33" applyFont="1" applyFill="1" applyAlignment="1">
      <alignment horizontal="center"/>
    </xf>
    <xf numFmtId="165" fontId="4" fillId="6" borderId="0" xfId="33" applyNumberFormat="1" applyFont="1" applyFill="1" applyAlignment="1">
      <alignment horizontal="center"/>
    </xf>
    <xf numFmtId="0" fontId="5" fillId="4" borderId="0" xfId="33" applyFont="1" applyFill="1"/>
    <xf numFmtId="0" fontId="15" fillId="6" borderId="0" xfId="33" applyFont="1" applyFill="1" applyAlignment="1">
      <alignment horizontal="center"/>
    </xf>
    <xf numFmtId="0" fontId="16" fillId="6" borderId="2" xfId="33" applyFont="1" applyFill="1" applyBorder="1" applyAlignment="1">
      <alignment horizontal="center"/>
    </xf>
    <xf numFmtId="0" fontId="16" fillId="6" borderId="0" xfId="33" applyFont="1" applyFill="1" applyAlignment="1">
      <alignment horizontal="center"/>
    </xf>
    <xf numFmtId="0" fontId="8" fillId="0" borderId="0" xfId="33" applyFont="1" applyFill="1" applyAlignment="1">
      <alignment horizontal="center"/>
    </xf>
    <xf numFmtId="0" fontId="4" fillId="0" borderId="0" xfId="0" applyFont="1" applyFill="1" applyAlignment="1">
      <alignment horizontal="right"/>
    </xf>
    <xf numFmtId="0" fontId="17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right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center"/>
    </xf>
    <xf numFmtId="165" fontId="5" fillId="0" borderId="3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5" fontId="11" fillId="11" borderId="0" xfId="0" applyNumberFormat="1" applyFont="1" applyFill="1" applyBorder="1" applyAlignment="1">
      <alignment horizontal="center"/>
    </xf>
    <xf numFmtId="165" fontId="4" fillId="11" borderId="0" xfId="0" applyNumberFormat="1" applyFont="1" applyFill="1" applyBorder="1" applyAlignment="1">
      <alignment horizontal="center"/>
    </xf>
    <xf numFmtId="165" fontId="11" fillId="2" borderId="0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9" fontId="4" fillId="8" borderId="0" xfId="0" applyNumberFormat="1" applyFont="1" applyFill="1" applyAlignment="1">
      <alignment horizontal="center"/>
    </xf>
    <xf numFmtId="165" fontId="11" fillId="0" borderId="7" xfId="0" applyNumberFormat="1" applyFont="1" applyFill="1" applyBorder="1" applyAlignment="1">
      <alignment horizontal="center"/>
    </xf>
    <xf numFmtId="165" fontId="11" fillId="11" borderId="7" xfId="0" applyNumberFormat="1" applyFont="1" applyFill="1" applyBorder="1" applyAlignment="1">
      <alignment horizontal="center"/>
    </xf>
    <xf numFmtId="165" fontId="11" fillId="2" borderId="1" xfId="0" applyNumberFormat="1" applyFont="1" applyFill="1" applyBorder="1" applyAlignment="1">
      <alignment horizontal="center"/>
    </xf>
    <xf numFmtId="0" fontId="11" fillId="0" borderId="0" xfId="0" applyFont="1" applyFill="1" applyBorder="1"/>
    <xf numFmtId="0" fontId="8" fillId="0" borderId="0" xfId="0" applyFont="1" applyBorder="1" applyAlignment="1">
      <alignment horizontal="center"/>
    </xf>
    <xf numFmtId="0" fontId="11" fillId="0" borderId="8" xfId="0" applyFont="1" applyFill="1" applyBorder="1"/>
    <xf numFmtId="0" fontId="9" fillId="11" borderId="6" xfId="0" applyFont="1" applyFill="1" applyBorder="1"/>
    <xf numFmtId="0" fontId="9" fillId="11" borderId="0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9" fillId="2" borderId="6" xfId="0" applyFont="1" applyFill="1" applyBorder="1"/>
    <xf numFmtId="0" fontId="9" fillId="2" borderId="8" xfId="0" applyFont="1" applyFill="1" applyBorder="1"/>
    <xf numFmtId="165" fontId="4" fillId="2" borderId="0" xfId="0" applyNumberFormat="1" applyFont="1" applyFill="1" applyBorder="1" applyAlignment="1">
      <alignment horizontal="center"/>
    </xf>
    <xf numFmtId="165" fontId="4" fillId="11" borderId="0" xfId="0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9" fillId="0" borderId="0" xfId="0" applyNumberFormat="1" applyFont="1" applyFill="1" applyBorder="1" applyAlignment="1">
      <alignment horizontal="right"/>
    </xf>
    <xf numFmtId="165" fontId="9" fillId="11" borderId="0" xfId="0" applyNumberFormat="1" applyFont="1" applyFill="1" applyBorder="1" applyAlignment="1">
      <alignment horizontal="right"/>
    </xf>
    <xf numFmtId="165" fontId="5" fillId="2" borderId="0" xfId="0" applyNumberFormat="1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8" fillId="3" borderId="0" xfId="33" applyFont="1" applyFill="1" applyAlignment="1">
      <alignment horizontal="center"/>
    </xf>
    <xf numFmtId="0" fontId="8" fillId="7" borderId="0" xfId="33" applyFont="1" applyFill="1" applyAlignment="1">
      <alignment horizontal="center"/>
    </xf>
    <xf numFmtId="0" fontId="5" fillId="5" borderId="3" xfId="33" applyFont="1" applyFill="1" applyBorder="1" applyAlignment="1">
      <alignment horizontal="center"/>
    </xf>
    <xf numFmtId="0" fontId="5" fillId="2" borderId="3" xfId="33" applyFont="1" applyFill="1" applyBorder="1" applyAlignment="1">
      <alignment horizontal="center"/>
    </xf>
    <xf numFmtId="0" fontId="5" fillId="6" borderId="3" xfId="33" applyFont="1" applyFill="1" applyBorder="1" applyAlignment="1">
      <alignment horizontal="center"/>
    </xf>
    <xf numFmtId="0" fontId="8" fillId="4" borderId="0" xfId="33" applyFont="1" applyFill="1" applyAlignment="1">
      <alignment horizontal="center"/>
    </xf>
    <xf numFmtId="0" fontId="8" fillId="8" borderId="0" xfId="33" applyFont="1" applyFill="1" applyAlignment="1">
      <alignment horizontal="center"/>
    </xf>
    <xf numFmtId="0" fontId="5" fillId="9" borderId="0" xfId="33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5" fillId="0" borderId="10" xfId="0" applyFont="1" applyFill="1" applyBorder="1" applyAlignment="1">
      <alignment horizontal="center"/>
    </xf>
  </cellXfs>
  <cellStyles count="8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Normal" xfId="0" builtinId="0"/>
    <cellStyle name="Normal 2" xfId="3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ImpVol to Rho across Strikes (Trapezoidal)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'Q2'!$P$9</c:f>
              <c:strCache>
                <c:ptCount val="1"/>
                <c:pt idx="0">
                  <c:v>-0.2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'Q2'!$O$11:$O$19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'Q2'!$P$11:$P$19</c:f>
              <c:numCache>
                <c:formatCode>0.0000</c:formatCode>
                <c:ptCount val="9"/>
                <c:pt idx="0">
                  <c:v>0.172130712654591</c:v>
                </c:pt>
                <c:pt idx="1">
                  <c:v>0.170128003265858</c:v>
                </c:pt>
                <c:pt idx="2">
                  <c:v>0.168388507111072</c:v>
                </c:pt>
                <c:pt idx="3">
                  <c:v>0.166894700483084</c:v>
                </c:pt>
                <c:pt idx="4">
                  <c:v>0.165628344421387</c:v>
                </c:pt>
                <c:pt idx="5">
                  <c:v>0.164571557592154</c:v>
                </c:pt>
                <c:pt idx="6">
                  <c:v>0.163707352728248</c:v>
                </c:pt>
                <c:pt idx="7">
                  <c:v>0.163018384935856</c:v>
                </c:pt>
                <c:pt idx="8">
                  <c:v>0.162487666947842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'Q2'!$Q$9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'Q2'!$O$11:$O$19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'Q2'!$Q$11:$Q$19</c:f>
              <c:numCache>
                <c:formatCode>0.0000</c:formatCode>
                <c:ptCount val="9"/>
                <c:pt idx="0">
                  <c:v>0.167786263787746</c:v>
                </c:pt>
                <c:pt idx="1">
                  <c:v>0.166831400561333</c:v>
                </c:pt>
                <c:pt idx="2">
                  <c:v>0.166136174302101</c:v>
                </c:pt>
                <c:pt idx="3">
                  <c:v>0.16567376300931</c:v>
                </c:pt>
                <c:pt idx="4">
                  <c:v>0.16541805993557</c:v>
                </c:pt>
                <c:pt idx="5">
                  <c:v>0.16534421002686</c:v>
                </c:pt>
                <c:pt idx="6">
                  <c:v>0.165428788735867</c:v>
                </c:pt>
                <c:pt idx="7">
                  <c:v>0.165650159648657</c:v>
                </c:pt>
                <c:pt idx="8">
                  <c:v>0.165988116858006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'Q2'!$R$9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'Q2'!$O$11:$O$19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'Q2'!$R$11:$R$19</c:f>
              <c:numCache>
                <c:formatCode>0.0000</c:formatCode>
                <c:ptCount val="9"/>
                <c:pt idx="0">
                  <c:v>0.162949720613956</c:v>
                </c:pt>
                <c:pt idx="1">
                  <c:v>0.163173952540159</c:v>
                </c:pt>
                <c:pt idx="2">
                  <c:v>0.163625277405977</c:v>
                </c:pt>
                <c:pt idx="3">
                  <c:v>0.164267574917078</c:v>
                </c:pt>
                <c:pt idx="4">
                  <c:v>0.165067228165865</c:v>
                </c:pt>
                <c:pt idx="5">
                  <c:v>0.165994196511507</c:v>
                </c:pt>
                <c:pt idx="6">
                  <c:v>0.167021300326586</c:v>
                </c:pt>
                <c:pt idx="7">
                  <c:v>0.168126009130478</c:v>
                </c:pt>
                <c:pt idx="8">
                  <c:v>0.169288653455973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44200000"/>
        <c:axId val="-2046687760"/>
      </c:lineChart>
      <c:catAx>
        <c:axId val="-204420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687760"/>
        <c:crosses val="autoZero"/>
        <c:auto val="1"/>
        <c:lblAlgn val="ctr"/>
        <c:lblOffset val="100"/>
        <c:noMultiLvlLbl val="0"/>
      </c:catAx>
      <c:valAx>
        <c:axId val="-2046687760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420000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ImpVol to Gamma across Strikes (Trapezoidal)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'Q2'!$P$23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'Q2'!$O$25:$O$33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'Q2'!$P$25:$P$33</c:f>
              <c:numCache>
                <c:formatCode>0.0000</c:formatCode>
                <c:ptCount val="9"/>
                <c:pt idx="0">
                  <c:v>0.167536640367508</c:v>
                </c:pt>
                <c:pt idx="1">
                  <c:v>0.167547369167805</c:v>
                </c:pt>
                <c:pt idx="2">
                  <c:v>0.167555952208042</c:v>
                </c:pt>
                <c:pt idx="3">
                  <c:v>0.16756346236825</c:v>
                </c:pt>
                <c:pt idx="4">
                  <c:v>0.167570257275105</c:v>
                </c:pt>
                <c:pt idx="5">
                  <c:v>0.167576336928606</c:v>
                </c:pt>
                <c:pt idx="6">
                  <c:v>0.167582058955431</c:v>
                </c:pt>
                <c:pt idx="7">
                  <c:v>0.167587780982256</c:v>
                </c:pt>
                <c:pt idx="8">
                  <c:v>0.167592787755728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'Q2'!$Q$23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'Q2'!$O$25:$O$33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'Q2'!$Q$25:$Q$33</c:f>
              <c:numCache>
                <c:formatCode>0.0000</c:formatCode>
                <c:ptCount val="9"/>
                <c:pt idx="0">
                  <c:v>0.167308474547863</c:v>
                </c:pt>
                <c:pt idx="1">
                  <c:v>0.167224074652195</c:v>
                </c:pt>
                <c:pt idx="2">
                  <c:v>0.167180444197655</c:v>
                </c:pt>
                <c:pt idx="3">
                  <c:v>0.16717257641077</c:v>
                </c:pt>
                <c:pt idx="4">
                  <c:v>0.167195822144747</c:v>
                </c:pt>
                <c:pt idx="5">
                  <c:v>0.167245174626112</c:v>
                </c:pt>
                <c:pt idx="6">
                  <c:v>0.167317236401439</c:v>
                </c:pt>
                <c:pt idx="7">
                  <c:v>0.167408967643976</c:v>
                </c:pt>
                <c:pt idx="8">
                  <c:v>0.167517328526974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'Q2'!$R$23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'Q2'!$O$25:$O$33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'Q2'!$R$25:$R$33</c:f>
              <c:numCache>
                <c:formatCode>0.0000</c:formatCode>
                <c:ptCount val="9"/>
                <c:pt idx="0">
                  <c:v>0.167064573154449</c:v>
                </c:pt>
                <c:pt idx="1">
                  <c:v>0.165924459309578</c:v>
                </c:pt>
                <c:pt idx="2">
                  <c:v>0.165136607741117</c:v>
                </c:pt>
                <c:pt idx="3">
                  <c:v>0.164669547301531</c:v>
                </c:pt>
                <c:pt idx="4">
                  <c:v>0.164488945829868</c:v>
                </c:pt>
                <c:pt idx="5">
                  <c:v>0.164559755911827</c:v>
                </c:pt>
                <c:pt idx="6">
                  <c:v>0.164848003013134</c:v>
                </c:pt>
                <c:pt idx="7">
                  <c:v>0.165320785479546</c:v>
                </c:pt>
                <c:pt idx="8">
                  <c:v>0.165946989790201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44615568"/>
        <c:axId val="-2046366080"/>
      </c:lineChart>
      <c:catAx>
        <c:axId val="-204461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366080"/>
        <c:crosses val="autoZero"/>
        <c:auto val="1"/>
        <c:lblAlgn val="ctr"/>
        <c:lblOffset val="100"/>
        <c:noMultiLvlLbl val="0"/>
      </c:catAx>
      <c:valAx>
        <c:axId val="-2046366080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46155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ImpVol to Lambda across Strikes (Trapezoidal)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'Q2'!$P$37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'Q2'!$O$39:$O$47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'Q2'!$P$39:$P$47</c:f>
              <c:numCache>
                <c:formatCode>0.0000</c:formatCode>
                <c:ptCount val="9"/>
                <c:pt idx="0">
                  <c:v>0.167626047036648</c:v>
                </c:pt>
                <c:pt idx="1">
                  <c:v>0.166837122588158</c:v>
                </c:pt>
                <c:pt idx="2">
                  <c:v>0.166304974093437</c:v>
                </c:pt>
                <c:pt idx="3">
                  <c:v>0.166002421925068</c:v>
                </c:pt>
                <c:pt idx="4">
                  <c:v>0.165901571202278</c:v>
                </c:pt>
                <c:pt idx="5">
                  <c:v>0.165976672804356</c:v>
                </c:pt>
                <c:pt idx="6">
                  <c:v>0.166203765743971</c:v>
                </c:pt>
                <c:pt idx="7">
                  <c:v>0.166560319540501</c:v>
                </c:pt>
                <c:pt idx="8">
                  <c:v>0.167025591846704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'Q2'!$Q$37</c:f>
              <c:strCache>
                <c:ptCount val="1"/>
                <c:pt idx="0">
                  <c:v>0.05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'Q2'!$O$39:$O$47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'Q2'!$Q$39:$Q$47</c:f>
              <c:numCache>
                <c:formatCode>0.0000</c:formatCode>
                <c:ptCount val="9"/>
                <c:pt idx="0">
                  <c:v>0.166304974093437</c:v>
                </c:pt>
                <c:pt idx="1">
                  <c:v>0.165521414045095</c:v>
                </c:pt>
                <c:pt idx="2">
                  <c:v>0.164993199443817</c:v>
                </c:pt>
                <c:pt idx="3">
                  <c:v>0.164692793035507</c:v>
                </c:pt>
                <c:pt idx="4">
                  <c:v>0.164592657566071</c:v>
                </c:pt>
                <c:pt idx="5">
                  <c:v>0.164667759168148</c:v>
                </c:pt>
                <c:pt idx="6">
                  <c:v>0.164893063974381</c:v>
                </c:pt>
                <c:pt idx="7">
                  <c:v>0.165247114384174</c:v>
                </c:pt>
                <c:pt idx="8">
                  <c:v>0.165709168050289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'Q2'!$R$37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'Q2'!$O$39:$O$47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'Q2'!$R$39:$R$47</c:f>
              <c:numCache>
                <c:formatCode>0.0000</c:formatCode>
                <c:ptCount val="9"/>
                <c:pt idx="0">
                  <c:v>0.165012511284351</c:v>
                </c:pt>
                <c:pt idx="1">
                  <c:v>0.164235030889511</c:v>
                </c:pt>
                <c:pt idx="2">
                  <c:v>0.163710750181675</c:v>
                </c:pt>
                <c:pt idx="3">
                  <c:v>0.163412131906748</c:v>
                </c:pt>
                <c:pt idx="4">
                  <c:v>0.163313069317341</c:v>
                </c:pt>
                <c:pt idx="5">
                  <c:v>0.163387455666065</c:v>
                </c:pt>
                <c:pt idx="6">
                  <c:v>0.163611329965591</c:v>
                </c:pt>
                <c:pt idx="7">
                  <c:v>0.163962876988649</c:v>
                </c:pt>
                <c:pt idx="8">
                  <c:v>0.164422069641352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43034624"/>
        <c:axId val="-2043855120"/>
      </c:lineChart>
      <c:catAx>
        <c:axId val="-204303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855120"/>
        <c:crosses val="autoZero"/>
        <c:auto val="1"/>
        <c:lblAlgn val="ctr"/>
        <c:lblOffset val="100"/>
        <c:noMultiLvlLbl val="0"/>
      </c:catAx>
      <c:valAx>
        <c:axId val="-2043855120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0346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ImpVol to Rho across Strikes (GL10)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'Q2'!$P$9</c:f>
              <c:strCache>
                <c:ptCount val="1"/>
                <c:pt idx="0">
                  <c:v>-0.2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'Q2'!$O$57:$O$65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'Q2'!$P$57:$P$65</c:f>
              <c:numCache>
                <c:formatCode>0.0000</c:formatCode>
                <c:ptCount val="9"/>
                <c:pt idx="0">
                  <c:v>0.165362270174026</c:v>
                </c:pt>
                <c:pt idx="1">
                  <c:v>0.171827087606192</c:v>
                </c:pt>
                <c:pt idx="2">
                  <c:v>0.173520449919701</c:v>
                </c:pt>
                <c:pt idx="3">
                  <c:v>0.173244719752073</c:v>
                </c:pt>
                <c:pt idx="4">
                  <c:v>0.172234066764116</c:v>
                </c:pt>
                <c:pt idx="5">
                  <c:v>0.171014559797049</c:v>
                </c:pt>
                <c:pt idx="6">
                  <c:v>0.169768946082592</c:v>
                </c:pt>
                <c:pt idx="7">
                  <c:v>0.168506881541014</c:v>
                </c:pt>
                <c:pt idx="8">
                  <c:v>0.167137886623144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'Q2'!$Q$9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'Q2'!$O$57:$O$65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'Q2'!$Q$57:$Q$65</c:f>
              <c:numCache>
                <c:formatCode>0.0000</c:formatCode>
                <c:ptCount val="9"/>
                <c:pt idx="0">
                  <c:v>0.164798650531769</c:v>
                </c:pt>
                <c:pt idx="1">
                  <c:v>0.169456380367279</c:v>
                </c:pt>
                <c:pt idx="2">
                  <c:v>0.171171200281382</c:v>
                </c:pt>
                <c:pt idx="3">
                  <c:v>0.171656857308149</c:v>
                </c:pt>
                <c:pt idx="4">
                  <c:v>0.171670804748535</c:v>
                </c:pt>
                <c:pt idx="5">
                  <c:v>0.171515594770908</c:v>
                </c:pt>
                <c:pt idx="6">
                  <c:v>0.171258461190462</c:v>
                </c:pt>
                <c:pt idx="7">
                  <c:v>0.170833243072033</c:v>
                </c:pt>
                <c:pt idx="8">
                  <c:v>0.170076147397757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'Q2'!$R$9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'Q2'!$O$57:$O$65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'Q2'!$R$57:$R$65</c:f>
              <c:numCache>
                <c:formatCode>0.0000</c:formatCode>
                <c:ptCount val="9"/>
                <c:pt idx="0">
                  <c:v>0.164602671113014</c:v>
                </c:pt>
                <c:pt idx="1">
                  <c:v>0.167635702956915</c:v>
                </c:pt>
                <c:pt idx="2">
                  <c:v>0.169339078817368</c:v>
                </c:pt>
                <c:pt idx="3">
                  <c:v>0.170501365516186</c:v>
                </c:pt>
                <c:pt idx="4">
                  <c:v>0.171470176182985</c:v>
                </c:pt>
                <c:pt idx="5">
                  <c:v>0.172346719167232</c:v>
                </c:pt>
                <c:pt idx="6">
                  <c:v>0.173081641987562</c:v>
                </c:pt>
                <c:pt idx="7">
                  <c:v>0.173517231279612</c:v>
                </c:pt>
                <c:pt idx="8">
                  <c:v>0.173393134822845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13720960"/>
        <c:axId val="-2044766272"/>
      </c:lineChart>
      <c:catAx>
        <c:axId val="-201372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4766272"/>
        <c:crosses val="autoZero"/>
        <c:auto val="1"/>
        <c:lblAlgn val="ctr"/>
        <c:lblOffset val="100"/>
        <c:noMultiLvlLbl val="0"/>
      </c:catAx>
      <c:valAx>
        <c:axId val="-2044766272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72096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ImpVol to Gamma across Strikes (GL10)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'Q2'!$P$23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'Q2'!$O$71:$O$79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'Q2'!$P$71:$P$79</c:f>
              <c:numCache>
                <c:formatCode>0.0000</c:formatCode>
                <c:ptCount val="9"/>
                <c:pt idx="0">
                  <c:v>0.158307726352215</c:v>
                </c:pt>
                <c:pt idx="1">
                  <c:v>0.167019154566526</c:v>
                </c:pt>
                <c:pt idx="2">
                  <c:v>0.171193730762005</c:v>
                </c:pt>
                <c:pt idx="3">
                  <c:v>0.173134570735693</c:v>
                </c:pt>
                <c:pt idx="4">
                  <c:v>0.173895063863397</c:v>
                </c:pt>
                <c:pt idx="5">
                  <c:v>0.173952105318308</c:v>
                </c:pt>
                <c:pt idx="6">
                  <c:v>0.17346644829154</c:v>
                </c:pt>
                <c:pt idx="7">
                  <c:v>0.172408588582277</c:v>
                </c:pt>
                <c:pt idx="8">
                  <c:v>0.170615806052685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'Q2'!$Q$23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'Q2'!$O$71:$O$79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'Q2'!$Q$71:$Q$79</c:f>
              <c:numCache>
                <c:formatCode>0.0000</c:formatCode>
                <c:ptCount val="9"/>
                <c:pt idx="0">
                  <c:v>0.159505775718689</c:v>
                </c:pt>
                <c:pt idx="1">
                  <c:v>0.167349601615667</c:v>
                </c:pt>
                <c:pt idx="2">
                  <c:v>0.17106534278512</c:v>
                </c:pt>
                <c:pt idx="3">
                  <c:v>0.172776944059134</c:v>
                </c:pt>
                <c:pt idx="4">
                  <c:v>0.173458580504656</c:v>
                </c:pt>
                <c:pt idx="5">
                  <c:v>0.173541907520294</c:v>
                </c:pt>
                <c:pt idx="6">
                  <c:v>0.173162107989788</c:v>
                </c:pt>
                <c:pt idx="7">
                  <c:v>0.172274836205244</c:v>
                </c:pt>
                <c:pt idx="8">
                  <c:v>0.170710219495296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'Q2'!$R$23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'Q2'!$O$71:$O$79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'Q2'!$R$71:$R$79</c:f>
              <c:numCache>
                <c:formatCode>0.0000</c:formatCode>
                <c:ptCount val="9"/>
                <c:pt idx="0">
                  <c:v>0.166965868191719</c:v>
                </c:pt>
                <c:pt idx="1">
                  <c:v>0.169939176380634</c:v>
                </c:pt>
                <c:pt idx="2">
                  <c:v>0.170800341417789</c:v>
                </c:pt>
                <c:pt idx="3">
                  <c:v>0.170905126034021</c:v>
                </c:pt>
                <c:pt idx="4">
                  <c:v>0.170830024431944</c:v>
                </c:pt>
                <c:pt idx="5">
                  <c:v>0.170779062630534</c:v>
                </c:pt>
                <c:pt idx="6">
                  <c:v>0.170768512643576</c:v>
                </c:pt>
                <c:pt idx="7">
                  <c:v>0.170705212721825</c:v>
                </c:pt>
                <c:pt idx="8">
                  <c:v>0.170414104607105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8905792"/>
        <c:axId val="-2041484720"/>
      </c:lineChart>
      <c:catAx>
        <c:axId val="-202890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1484720"/>
        <c:crosses val="autoZero"/>
        <c:auto val="1"/>
        <c:lblAlgn val="ctr"/>
        <c:lblOffset val="100"/>
        <c:noMultiLvlLbl val="0"/>
      </c:catAx>
      <c:valAx>
        <c:axId val="-2041484720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890579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ImpVol to Lambda across Strikes (GL)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'Q2'!$P$37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'Q2'!$O$85:$O$93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'Q2'!$P$85:$P$93</c:f>
              <c:numCache>
                <c:formatCode>0.0000</c:formatCode>
                <c:ptCount val="9"/>
                <c:pt idx="0">
                  <c:v>0.165338666813374</c:v>
                </c:pt>
                <c:pt idx="1">
                  <c:v>0.169653075039387</c:v>
                </c:pt>
                <c:pt idx="2">
                  <c:v>0.171348583112955</c:v>
                </c:pt>
                <c:pt idx="3">
                  <c:v>0.171938667129278</c:v>
                </c:pt>
                <c:pt idx="4">
                  <c:v>0.17210067201376</c:v>
                </c:pt>
                <c:pt idx="5">
                  <c:v>0.172099956760407</c:v>
                </c:pt>
                <c:pt idx="6">
                  <c:v>0.171986946730614</c:v>
                </c:pt>
                <c:pt idx="7">
                  <c:v>0.171682606428862</c:v>
                </c:pt>
                <c:pt idx="8">
                  <c:v>0.171013486917019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'Q2'!$Q$37</c:f>
              <c:strCache>
                <c:ptCount val="1"/>
                <c:pt idx="0">
                  <c:v>0.05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'Q2'!$O$85:$O$93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'Q2'!$Q$85:$Q$93</c:f>
              <c:numCache>
                <c:formatCode>0.0000</c:formatCode>
                <c:ptCount val="9"/>
                <c:pt idx="0">
                  <c:v>0.163906014347076</c:v>
                </c:pt>
                <c:pt idx="1">
                  <c:v>0.1684292765522</c:v>
                </c:pt>
                <c:pt idx="2">
                  <c:v>0.17016412356019</c:v>
                </c:pt>
                <c:pt idx="3">
                  <c:v>0.170750988936424</c:v>
                </c:pt>
                <c:pt idx="4">
                  <c:v>0.170905126034021</c:v>
                </c:pt>
                <c:pt idx="5">
                  <c:v>0.170903337900639</c:v>
                </c:pt>
                <c:pt idx="6">
                  <c:v>0.1707971227777</c:v>
                </c:pt>
                <c:pt idx="7">
                  <c:v>0.170504584156275</c:v>
                </c:pt>
                <c:pt idx="8">
                  <c:v>0.169845835818052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'Q2'!$R$37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'Q2'!$O$85:$O$93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'Q2'!$R$85:$R$93</c:f>
              <c:numCache>
                <c:formatCode>0.0000</c:formatCode>
                <c:ptCount val="9"/>
                <c:pt idx="0">
                  <c:v>0.162530582149029</c:v>
                </c:pt>
                <c:pt idx="1">
                  <c:v>0.167248393266201</c:v>
                </c:pt>
                <c:pt idx="2">
                  <c:v>0.169014711421728</c:v>
                </c:pt>
                <c:pt idx="3">
                  <c:v>0.169593709011078</c:v>
                </c:pt>
                <c:pt idx="4">
                  <c:v>0.169737832561731</c:v>
                </c:pt>
                <c:pt idx="5">
                  <c:v>0.169734256294966</c:v>
                </c:pt>
                <c:pt idx="6">
                  <c:v>0.169634836078882</c:v>
                </c:pt>
                <c:pt idx="7">
                  <c:v>0.169356066084504</c:v>
                </c:pt>
                <c:pt idx="8">
                  <c:v>0.168710371119976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8676512"/>
        <c:axId val="-2042148480"/>
      </c:lineChart>
      <c:catAx>
        <c:axId val="-202867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2148480"/>
        <c:crosses val="autoZero"/>
        <c:auto val="1"/>
        <c:lblAlgn val="ctr"/>
        <c:lblOffset val="100"/>
        <c:noMultiLvlLbl val="0"/>
      </c:catAx>
      <c:valAx>
        <c:axId val="-2042148480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86765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Heston</a:t>
            </a:r>
            <a:r>
              <a:rPr lang="en-GB" baseline="0"/>
              <a:t> </a:t>
            </a:r>
            <a:r>
              <a:rPr lang="en-GB"/>
              <a:t>Prices</a:t>
            </a:r>
            <a:r>
              <a:rPr lang="en-GB" baseline="0"/>
              <a:t> and Imp Vols across Strikes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'Q2'!$E$10</c:f>
              <c:strCache>
                <c:ptCount val="1"/>
                <c:pt idx="0">
                  <c:v>Option Price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'Q2'!$D$11:$D$19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'Q2'!$E$11:$E$19</c:f>
              <c:numCache>
                <c:formatCode>0.0000</c:formatCode>
                <c:ptCount val="9"/>
                <c:pt idx="0">
                  <c:v>25.22556174665088</c:v>
                </c:pt>
                <c:pt idx="1">
                  <c:v>21.41436285385215</c:v>
                </c:pt>
                <c:pt idx="2">
                  <c:v>17.94811696817023</c:v>
                </c:pt>
                <c:pt idx="3">
                  <c:v>14.8605022012732</c:v>
                </c:pt>
                <c:pt idx="4">
                  <c:v>12.16572349552165</c:v>
                </c:pt>
                <c:pt idx="5">
                  <c:v>9.858790122154743</c:v>
                </c:pt>
                <c:pt idx="6">
                  <c:v>7.918560582289336</c:v>
                </c:pt>
                <c:pt idx="7">
                  <c:v>6.312338856178293</c:v>
                </c:pt>
                <c:pt idx="8">
                  <c:v>5.000796968535646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-2022479568"/>
        <c:axId val="-2021865808"/>
      </c:lineChart>
      <c:lineChart>
        <c:grouping val="standard"/>
        <c:varyColors val="0"/>
        <c:ser>
          <c:idx val="1"/>
          <c:order val="1"/>
          <c:tx>
            <c:strRef>
              <c:f>'Q2'!$F$10</c:f>
              <c:strCache>
                <c:ptCount val="1"/>
                <c:pt idx="0">
                  <c:v>Implied Vol.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'Q2'!$D$11:$D$19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'Q2'!$F$11:$F$19</c:f>
              <c:numCache>
                <c:formatCode>0.0000</c:formatCode>
                <c:ptCount val="9"/>
                <c:pt idx="0">
                  <c:v>0.167093898541927</c:v>
                </c:pt>
                <c:pt idx="1">
                  <c:v>0.166307119853497</c:v>
                </c:pt>
                <c:pt idx="2">
                  <c:v>0.165776759492159</c:v>
                </c:pt>
                <c:pt idx="3">
                  <c:v>0.165474922577143</c:v>
                </c:pt>
                <c:pt idx="4">
                  <c:v>0.165374429481029</c:v>
                </c:pt>
                <c:pt idx="5">
                  <c:v>0.165449531083107</c:v>
                </c:pt>
                <c:pt idx="6">
                  <c:v>0.165675908769369</c:v>
                </c:pt>
                <c:pt idx="7">
                  <c:v>0.166031389685869</c:v>
                </c:pt>
                <c:pt idx="8">
                  <c:v>0.166495589112043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2252320"/>
        <c:axId val="-2021752208"/>
      </c:lineChart>
      <c:catAx>
        <c:axId val="-202247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1865808"/>
        <c:crosses val="autoZero"/>
        <c:auto val="1"/>
        <c:lblAlgn val="ctr"/>
        <c:lblOffset val="100"/>
        <c:noMultiLvlLbl val="0"/>
      </c:catAx>
      <c:valAx>
        <c:axId val="-2021865808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479568"/>
        <c:crosses val="autoZero"/>
        <c:crossBetween val="between"/>
      </c:valAx>
      <c:valAx>
        <c:axId val="-2021752208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2252320"/>
        <c:crosses val="max"/>
        <c:crossBetween val="between"/>
      </c:valAx>
      <c:catAx>
        <c:axId val="-2042252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752208"/>
        <c:crosses val="autoZero"/>
        <c:auto val="1"/>
        <c:lblAlgn val="ctr"/>
        <c:lblOffset val="100"/>
        <c:noMultiLvlLbl val="0"/>
      </c:cat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ImpVol (Trapezoidal, Ref Rho = 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'Q2'!$AB$9</c:f>
              <c:strCache>
                <c:ptCount val="1"/>
                <c:pt idx="0">
                  <c:v>-0.2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'Q2'!$AA$11:$AA$19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'Q2'!$AB$11:$AB$19</c:f>
              <c:numCache>
                <c:formatCode>0.0000</c:formatCode>
                <c:ptCount val="9"/>
                <c:pt idx="0">
                  <c:v>0.00434444886684421</c:v>
                </c:pt>
                <c:pt idx="1">
                  <c:v>0.00329660270452497</c:v>
                </c:pt>
                <c:pt idx="2">
                  <c:v>0.00225233280897136</c:v>
                </c:pt>
                <c:pt idx="3">
                  <c:v>0.00122093747377394</c:v>
                </c:pt>
                <c:pt idx="4">
                  <c:v>0.000210284485816975</c:v>
                </c:pt>
                <c:pt idx="5">
                  <c:v>-0.000772652434706727</c:v>
                </c:pt>
                <c:pt idx="6">
                  <c:v>-0.00172143600761893</c:v>
                </c:pt>
                <c:pt idx="7">
                  <c:v>-0.00263177471280102</c:v>
                </c:pt>
                <c:pt idx="8">
                  <c:v>-0.0035004499101639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'Q2'!$AC$9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'Q2'!$AA$11:$AA$19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'Q2'!$AC$11:$AC$19</c:f>
              <c:numCache>
                <c:formatCode>0.0000</c:formatCode>
                <c:ptCount val="9"/>
                <c:pt idx="0">
                  <c:v>-0.00483654317378995</c:v>
                </c:pt>
                <c:pt idx="1">
                  <c:v>-0.00365744802117351</c:v>
                </c:pt>
                <c:pt idx="2">
                  <c:v>-0.00251089689612388</c:v>
                </c:pt>
                <c:pt idx="3">
                  <c:v>-0.00140618809223175</c:v>
                </c:pt>
                <c:pt idx="4">
                  <c:v>-0.000350831769704768</c:v>
                </c:pt>
                <c:pt idx="5">
                  <c:v>0.000649986484646786</c:v>
                </c:pt>
                <c:pt idx="6">
                  <c:v>0.00159251159071924</c:v>
                </c:pt>
                <c:pt idx="7">
                  <c:v>0.002475849481821</c:v>
                </c:pt>
                <c:pt idx="8">
                  <c:v>0.00330053659796714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1847328"/>
        <c:axId val="-2021869808"/>
      </c:lineChart>
      <c:catAx>
        <c:axId val="-20218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1869808"/>
        <c:crosses val="autoZero"/>
        <c:auto val="1"/>
        <c:lblAlgn val="ctr"/>
        <c:lblOffset val="100"/>
        <c:noMultiLvlLbl val="0"/>
      </c:catAx>
      <c:valAx>
        <c:axId val="-2021869808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18473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ImpVol (Trapezoidal, Ref Gamma = 0.01)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'Q2'!$AB$23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'Q2'!$AA$25:$AA$33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'Q2'!$AB$25:$AB$33</c:f>
              <c:numCache>
                <c:formatCode>0.0000</c:formatCode>
                <c:ptCount val="9"/>
                <c:pt idx="0">
                  <c:v>-0.00022816581964491</c:v>
                </c:pt>
                <c:pt idx="1">
                  <c:v>-0.000323294515609751</c:v>
                </c:pt>
                <c:pt idx="2">
                  <c:v>-0.000375508010387437</c:v>
                </c:pt>
                <c:pt idx="3">
                  <c:v>-0.000390885957479464</c:v>
                </c:pt>
                <c:pt idx="4">
                  <c:v>-0.000374435130357759</c:v>
                </c:pt>
                <c:pt idx="5">
                  <c:v>-0.000331162302494026</c:v>
                </c:pt>
                <c:pt idx="6">
                  <c:v>-0.000264822553992267</c:v>
                </c:pt>
                <c:pt idx="7">
                  <c:v>-0.000178813338279682</c:v>
                </c:pt>
                <c:pt idx="8">
                  <c:v>-7.54592287540157E-5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'Q2'!$AC$23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'Q2'!$AA$25:$AA$33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'Q2'!$AC$25:$AC$33</c:f>
              <c:numCache>
                <c:formatCode>0.0000</c:formatCode>
                <c:ptCount val="9"/>
                <c:pt idx="0">
                  <c:v>-0.00047206721305848</c:v>
                </c:pt>
                <c:pt idx="1">
                  <c:v>-0.00162290985822674</c:v>
                </c:pt>
                <c:pt idx="2">
                  <c:v>-0.00241934446692465</c:v>
                </c:pt>
                <c:pt idx="3">
                  <c:v>-0.00289391506671904</c:v>
                </c:pt>
                <c:pt idx="4">
                  <c:v>-0.00308131144523624</c:v>
                </c:pt>
                <c:pt idx="5">
                  <c:v>-0.00301658101677893</c:v>
                </c:pt>
                <c:pt idx="6">
                  <c:v>-0.00273405594229697</c:v>
                </c:pt>
                <c:pt idx="7">
                  <c:v>-0.00226699550271031</c:v>
                </c:pt>
                <c:pt idx="8">
                  <c:v>-0.00164579796552655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1838160"/>
        <c:axId val="-2022696496"/>
      </c:lineChart>
      <c:catAx>
        <c:axId val="-202183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696496"/>
        <c:crosses val="autoZero"/>
        <c:auto val="1"/>
        <c:lblAlgn val="ctr"/>
        <c:lblOffset val="100"/>
        <c:noMultiLvlLbl val="0"/>
      </c:catAx>
      <c:valAx>
        <c:axId val="-202269649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183816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ImpVol (Trapezoidal, Ref Lambda = 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'Q2'!$AB$37</c:f>
              <c:strCache>
                <c:ptCount val="1"/>
                <c:pt idx="0">
                  <c:v>0.05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'Q2'!$AA$39:$AA$47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'Q2'!$AB$39:$AB$47</c:f>
              <c:numCache>
                <c:formatCode>0.0000</c:formatCode>
                <c:ptCount val="9"/>
                <c:pt idx="0">
                  <c:v>-0.00132107294321054</c:v>
                </c:pt>
                <c:pt idx="1">
                  <c:v>-0.0013157085430622</c:v>
                </c:pt>
                <c:pt idx="2">
                  <c:v>-0.00131177464962007</c:v>
                </c:pt>
                <c:pt idx="3">
                  <c:v>-0.00130962888956068</c:v>
                </c:pt>
                <c:pt idx="4">
                  <c:v>-0.00130891363620761</c:v>
                </c:pt>
                <c:pt idx="5">
                  <c:v>-0.00130891363620761</c:v>
                </c:pt>
                <c:pt idx="6">
                  <c:v>-0.00131070176959036</c:v>
                </c:pt>
                <c:pt idx="7">
                  <c:v>-0.0013132051563263</c:v>
                </c:pt>
                <c:pt idx="8">
                  <c:v>-0.00131642379641528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'Q2'!$AC$37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'Q2'!$AA$39:$AA$47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'Q2'!$AC$39:$AC$47</c:f>
              <c:numCache>
                <c:formatCode>0.0000</c:formatCode>
                <c:ptCount val="9"/>
                <c:pt idx="0">
                  <c:v>-0.00261353575229639</c:v>
                </c:pt>
                <c:pt idx="1">
                  <c:v>-0.00260209169864653</c:v>
                </c:pt>
                <c:pt idx="2">
                  <c:v>-0.00259422391176226</c:v>
                </c:pt>
                <c:pt idx="3">
                  <c:v>-0.00259029001832009</c:v>
                </c:pt>
                <c:pt idx="4">
                  <c:v>-0.00258850188493731</c:v>
                </c:pt>
                <c:pt idx="5">
                  <c:v>-0.00258921713829041</c:v>
                </c:pt>
                <c:pt idx="6">
                  <c:v>-0.00259243577837942</c:v>
                </c:pt>
                <c:pt idx="7">
                  <c:v>-0.00259744255185126</c:v>
                </c:pt>
                <c:pt idx="8">
                  <c:v>-0.00260352220535276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2038832"/>
        <c:axId val="-2014280176"/>
      </c:lineChart>
      <c:catAx>
        <c:axId val="-202203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4280176"/>
        <c:crosses val="autoZero"/>
        <c:auto val="1"/>
        <c:lblAlgn val="ctr"/>
        <c:lblOffset val="100"/>
        <c:noMultiLvlLbl val="0"/>
      </c:catAx>
      <c:valAx>
        <c:axId val="-201428017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0388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ImpVol (10Pt GQuad, Ref Rho = 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'Q2'!$AB$55</c:f>
              <c:strCache>
                <c:ptCount val="1"/>
                <c:pt idx="0">
                  <c:v>-0.2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'Q2'!$AA$57:$AA$65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'Q2'!$AB$57:$AB$65</c:f>
              <c:numCache>
                <c:formatCode>0.0000</c:formatCode>
                <c:ptCount val="9"/>
                <c:pt idx="0">
                  <c:v>0.000563619642257679</c:v>
                </c:pt>
                <c:pt idx="1">
                  <c:v>0.00237070723891258</c:v>
                </c:pt>
                <c:pt idx="2">
                  <c:v>0.00234924963831898</c:v>
                </c:pt>
                <c:pt idx="3">
                  <c:v>0.00158786244392389</c:v>
                </c:pt>
                <c:pt idx="4">
                  <c:v>0.000563262015581101</c:v>
                </c:pt>
                <c:pt idx="5">
                  <c:v>-0.000501034973859837</c:v>
                </c:pt>
                <c:pt idx="6">
                  <c:v>-0.00148951510787013</c:v>
                </c:pt>
                <c:pt idx="7">
                  <c:v>-0.00232636153101923</c:v>
                </c:pt>
                <c:pt idx="8">
                  <c:v>-0.0029382607746124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'Q2'!$AC$55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'Q2'!$AA$57:$AA$65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'Q2'!$AC$57:$AC$65</c:f>
              <c:numCache>
                <c:formatCode>0.0000</c:formatCode>
                <c:ptCount val="9"/>
                <c:pt idx="0">
                  <c:v>-0.000195979418754599</c:v>
                </c:pt>
                <c:pt idx="1">
                  <c:v>-0.00182067741036418</c:v>
                </c:pt>
                <c:pt idx="2">
                  <c:v>-0.00183212146401407</c:v>
                </c:pt>
                <c:pt idx="3">
                  <c:v>-0.00115549179196364</c:v>
                </c:pt>
                <c:pt idx="4">
                  <c:v>-0.000200628565549865</c:v>
                </c:pt>
                <c:pt idx="5">
                  <c:v>0.000831124396324101</c:v>
                </c:pt>
                <c:pt idx="6">
                  <c:v>0.00182318079710003</c:v>
                </c:pt>
                <c:pt idx="7">
                  <c:v>0.00268398820757859</c:v>
                </c:pt>
                <c:pt idx="8">
                  <c:v>0.00331698742508887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9520480"/>
        <c:axId val="-2029517184"/>
      </c:lineChart>
      <c:catAx>
        <c:axId val="-202952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9517184"/>
        <c:crosses val="autoZero"/>
        <c:auto val="1"/>
        <c:lblAlgn val="ctr"/>
        <c:lblOffset val="100"/>
        <c:noMultiLvlLbl val="0"/>
      </c:catAx>
      <c:valAx>
        <c:axId val="-2029517184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95204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ImpVol (10Pt GQuad, Ref Gamma = 0.01)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'Q2'!$AB$69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'Q2'!$AA$71:$AA$79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'Q2'!$AB$71:$AB$79</c:f>
              <c:numCache>
                <c:formatCode>0.0000</c:formatCode>
                <c:ptCount val="9"/>
                <c:pt idx="0">
                  <c:v>0.00119804936647414</c:v>
                </c:pt>
                <c:pt idx="1">
                  <c:v>0.000330447049140925</c:v>
                </c:pt>
                <c:pt idx="2">
                  <c:v>-0.000128387976884858</c:v>
                </c:pt>
                <c:pt idx="3">
                  <c:v>-0.000357626676559475</c:v>
                </c:pt>
                <c:pt idx="4">
                  <c:v>-0.000436483358740858</c:v>
                </c:pt>
                <c:pt idx="5">
                  <c:v>-0.000410197798013684</c:v>
                </c:pt>
                <c:pt idx="6">
                  <c:v>-0.000304340301752082</c:v>
                </c:pt>
                <c:pt idx="7">
                  <c:v>-0.000133752377033169</c:v>
                </c:pt>
                <c:pt idx="8">
                  <c:v>9.44134426116849E-5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'Q2'!$AC$69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'Q2'!$AA$71:$AA$79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'Q2'!$AC$71:$AC$79</c:f>
              <c:numCache>
                <c:formatCode>0.0000</c:formatCode>
                <c:ptCount val="9"/>
                <c:pt idx="0">
                  <c:v>0.00865814183950425</c:v>
                </c:pt>
                <c:pt idx="1">
                  <c:v>0.00292002181410786</c:v>
                </c:pt>
                <c:pt idx="2">
                  <c:v>-0.000393389344215345</c:v>
                </c:pt>
                <c:pt idx="3">
                  <c:v>-0.00222944470167158</c:v>
                </c:pt>
                <c:pt idx="4">
                  <c:v>-0.00306503943145275</c:v>
                </c:pt>
                <c:pt idx="5">
                  <c:v>-0.00317304268777366</c:v>
                </c:pt>
                <c:pt idx="6">
                  <c:v>-0.00269793564796444</c:v>
                </c:pt>
                <c:pt idx="7">
                  <c:v>-0.0017033758604526</c:v>
                </c:pt>
                <c:pt idx="8">
                  <c:v>-0.000201701445579544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39879856"/>
        <c:axId val="-2044971936"/>
      </c:lineChart>
      <c:catAx>
        <c:axId val="-203987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4971936"/>
        <c:crosses val="autoZero"/>
        <c:auto val="1"/>
        <c:lblAlgn val="ctr"/>
        <c:lblOffset val="100"/>
        <c:noMultiLvlLbl val="0"/>
      </c:catAx>
      <c:valAx>
        <c:axId val="-204497193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98798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ImpVol (10Pt GQuad, Ref Lambda = 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'Q2'!$AB$83</c:f>
              <c:strCache>
                <c:ptCount val="1"/>
                <c:pt idx="0">
                  <c:v>0.05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'Q2'!$AA$85:$AA$93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'Q2'!$AB$85:$AB$93</c:f>
              <c:numCache>
                <c:formatCode>0.0000</c:formatCode>
                <c:ptCount val="9"/>
                <c:pt idx="0">
                  <c:v>-0.00143265246629715</c:v>
                </c:pt>
                <c:pt idx="1">
                  <c:v>-0.00122379848718643</c:v>
                </c:pt>
                <c:pt idx="2">
                  <c:v>-0.00118445955276486</c:v>
                </c:pt>
                <c:pt idx="3">
                  <c:v>-0.00118767819285392</c:v>
                </c:pt>
                <c:pt idx="4">
                  <c:v>-0.0011955459797382</c:v>
                </c:pt>
                <c:pt idx="5">
                  <c:v>-0.00119661885976791</c:v>
                </c:pt>
                <c:pt idx="6">
                  <c:v>-0.00118982395291328</c:v>
                </c:pt>
                <c:pt idx="7">
                  <c:v>-0.00117802227258684</c:v>
                </c:pt>
                <c:pt idx="8">
                  <c:v>-0.0011676510989666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'Q2'!$AC$83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'Q2'!$AA$85:$AA$93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'Q2'!$AC$85:$AC$93</c:f>
              <c:numCache>
                <c:formatCode>0.0000</c:formatCode>
                <c:ptCount val="9"/>
                <c:pt idx="0">
                  <c:v>-0.00280808466434479</c:v>
                </c:pt>
                <c:pt idx="1">
                  <c:v>-0.00240468177318573</c:v>
                </c:pt>
                <c:pt idx="2">
                  <c:v>-0.00233387169122695</c:v>
                </c:pt>
                <c:pt idx="3">
                  <c:v>-0.00234495811820032</c:v>
                </c:pt>
                <c:pt idx="4">
                  <c:v>-0.00236283945202831</c:v>
                </c:pt>
                <c:pt idx="5">
                  <c:v>-0.00236570046544077</c:v>
                </c:pt>
                <c:pt idx="6">
                  <c:v>-0.00235211065173152</c:v>
                </c:pt>
                <c:pt idx="7">
                  <c:v>-0.0023265403443575</c:v>
                </c:pt>
                <c:pt idx="8">
                  <c:v>-0.00230311579704284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8713088"/>
        <c:axId val="-2032914448"/>
      </c:lineChart>
      <c:catAx>
        <c:axId val="-202871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2914448"/>
        <c:crosses val="autoZero"/>
        <c:auto val="1"/>
        <c:lblAlgn val="ctr"/>
        <c:lblOffset val="100"/>
        <c:noMultiLvlLbl val="0"/>
      </c:catAx>
      <c:valAx>
        <c:axId val="-2032914448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871308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Dfference (10-Pt GQuad vs Trapezoidal, Rho)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'Q2'!$K$101</c:f>
              <c:strCache>
                <c:ptCount val="1"/>
                <c:pt idx="0">
                  <c:v>-0.2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'Q2'!$J$103:$J$111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'Q2'!$K$103:$K$111</c:f>
              <c:numCache>
                <c:formatCode>0.0000</c:formatCode>
                <c:ptCount val="9"/>
                <c:pt idx="0">
                  <c:v>-0.204189064185073</c:v>
                </c:pt>
                <c:pt idx="1">
                  <c:v>0.0664721466690174</c:v>
                </c:pt>
                <c:pt idx="2">
                  <c:v>0.240703531918882</c:v>
                </c:pt>
                <c:pt idx="3">
                  <c:v>0.337978765880665</c:v>
                </c:pt>
                <c:pt idx="4">
                  <c:v>0.381187692156761</c:v>
                </c:pt>
                <c:pt idx="5">
                  <c:v>0.387187530187033</c:v>
                </c:pt>
                <c:pt idx="6">
                  <c:v>0.365885675797266</c:v>
                </c:pt>
                <c:pt idx="7">
                  <c:v>0.32206399156979</c:v>
                </c:pt>
                <c:pt idx="8">
                  <c:v>0.257555252747039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'Q2'!$L$101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'Q2'!$J$103:$J$111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'Q2'!$L$103:$L$111</c:f>
              <c:numCache>
                <c:formatCode>0.0000</c:formatCode>
                <c:ptCount val="9"/>
                <c:pt idx="0">
                  <c:v>-0.0886756490833029</c:v>
                </c:pt>
                <c:pt idx="1">
                  <c:v>0.101582551250047</c:v>
                </c:pt>
                <c:pt idx="2">
                  <c:v>0.235123131893367</c:v>
                </c:pt>
                <c:pt idx="3">
                  <c:v>0.318132463666348</c:v>
                </c:pt>
                <c:pt idx="4">
                  <c:v>0.360822309116312</c:v>
                </c:pt>
                <c:pt idx="5">
                  <c:v>0.370839965873028</c:v>
                </c:pt>
                <c:pt idx="6">
                  <c:v>0.351948868211934</c:v>
                </c:pt>
                <c:pt idx="7">
                  <c:v>0.304678879534361</c:v>
                </c:pt>
                <c:pt idx="8">
                  <c:v>0.227623379029362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'Q2'!$M$101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'Q2'!$J$103:$J$111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'Q2'!$M$103:$M$111</c:f>
              <c:numCache>
                <c:formatCode>0.0000</c:formatCode>
                <c:ptCount val="9"/>
                <c:pt idx="0">
                  <c:v>0.0482202666528622</c:v>
                </c:pt>
                <c:pt idx="1">
                  <c:v>0.170811961688177</c:v>
                </c:pt>
                <c:pt idx="2">
                  <c:v>0.265655654584478</c:v>
                </c:pt>
                <c:pt idx="3">
                  <c:v>0.331114973717614</c:v>
                </c:pt>
                <c:pt idx="4">
                  <c:v>0.369457749766203</c:v>
                </c:pt>
                <c:pt idx="5">
                  <c:v>0.381696520024301</c:v>
                </c:pt>
                <c:pt idx="6">
                  <c:v>0.365948576643257</c:v>
                </c:pt>
                <c:pt idx="7">
                  <c:v>0.317475242175933</c:v>
                </c:pt>
                <c:pt idx="8">
                  <c:v>0.229724138745386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32124000"/>
        <c:axId val="-2032120640"/>
      </c:lineChart>
      <c:catAx>
        <c:axId val="-203212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2120640"/>
        <c:crosses val="autoZero"/>
        <c:auto val="1"/>
        <c:lblAlgn val="ctr"/>
        <c:lblOffset val="100"/>
        <c:noMultiLvlLbl val="0"/>
      </c:catAx>
      <c:valAx>
        <c:axId val="-2032120640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3212400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Dfference (10-Pt GQuad vs Trapezoidal, Gamma)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'Q2'!$K$115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'Q2'!$J$117:$J$125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'Q2'!$K$117:$K$125</c:f>
              <c:numCache>
                <c:formatCode>0.0000</c:formatCode>
                <c:ptCount val="9"/>
                <c:pt idx="0">
                  <c:v>-0.267550764906044</c:v>
                </c:pt>
                <c:pt idx="1">
                  <c:v>-0.0203831089331388</c:v>
                </c:pt>
                <c:pt idx="2">
                  <c:v>0.170117917680958</c:v>
                </c:pt>
                <c:pt idx="3">
                  <c:v>0.296591327161824</c:v>
                </c:pt>
                <c:pt idx="4">
                  <c:v>0.365041762613293</c:v>
                </c:pt>
                <c:pt idx="5">
                  <c:v>0.383028502015637</c:v>
                </c:pt>
                <c:pt idx="6">
                  <c:v>0.355339125021628</c:v>
                </c:pt>
                <c:pt idx="7">
                  <c:v>0.283742934313862</c:v>
                </c:pt>
                <c:pt idx="8">
                  <c:v>0.16862104393727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'Q2'!$L$115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'Q2'!$J$117:$J$125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'Q2'!$L$117:$L$125</c:f>
              <c:numCache>
                <c:formatCode>0.0000</c:formatCode>
                <c:ptCount val="9"/>
                <c:pt idx="0">
                  <c:v>-0.227003182132513</c:v>
                </c:pt>
                <c:pt idx="1">
                  <c:v>0.00484266610362738</c:v>
                </c:pt>
                <c:pt idx="2">
                  <c:v>0.18157685798819</c:v>
                </c:pt>
                <c:pt idx="3">
                  <c:v>0.298273501342324</c:v>
                </c:pt>
                <c:pt idx="4">
                  <c:v>0.36146091037137</c:v>
                </c:pt>
                <c:pt idx="5">
                  <c:v>0.378317497220962</c:v>
                </c:pt>
                <c:pt idx="6">
                  <c:v>0.352950803958583</c:v>
                </c:pt>
                <c:pt idx="7">
                  <c:v>0.286365112604061</c:v>
                </c:pt>
                <c:pt idx="8">
                  <c:v>0.178085718484072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'Q2'!$M$115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'Q2'!$J$117:$J$125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'Q2'!$M$117:$M$125</c:f>
              <c:numCache>
                <c:formatCode>0.0000</c:formatCode>
                <c:ptCount val="9"/>
                <c:pt idx="0">
                  <c:v>-0.0029302458808047</c:v>
                </c:pt>
                <c:pt idx="1">
                  <c:v>0.155267690800478</c:v>
                </c:pt>
                <c:pt idx="2">
                  <c:v>0.264115317693566</c:v>
                </c:pt>
                <c:pt idx="3">
                  <c:v>0.331324627655544</c:v>
                </c:pt>
                <c:pt idx="4">
                  <c:v>0.365875810166051</c:v>
                </c:pt>
                <c:pt idx="5">
                  <c:v>0.373745617586886</c:v>
                </c:pt>
                <c:pt idx="6">
                  <c:v>0.357406156552708</c:v>
                </c:pt>
                <c:pt idx="7">
                  <c:v>0.316488196168347</c:v>
                </c:pt>
                <c:pt idx="8">
                  <c:v>0.248773589354039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22292256"/>
        <c:axId val="-2022288896"/>
      </c:lineChart>
      <c:catAx>
        <c:axId val="-202229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288896"/>
        <c:crosses val="autoZero"/>
        <c:auto val="1"/>
        <c:lblAlgn val="ctr"/>
        <c:lblOffset val="100"/>
        <c:noMultiLvlLbl val="0"/>
      </c:catAx>
      <c:valAx>
        <c:axId val="-202228889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2922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Dfference (10-Pt GQuad vs Trapezoidal, Lambda)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'Q2'!$K$129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'Q2'!$J$131:$J$139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'Q2'!$K$131:$K$139</c:f>
              <c:numCache>
                <c:formatCode>0.0000</c:formatCode>
                <c:ptCount val="9"/>
                <c:pt idx="0">
                  <c:v>-0.0680022625163943</c:v>
                </c:pt>
                <c:pt idx="1">
                  <c:v>0.109037181830519</c:v>
                </c:pt>
                <c:pt idx="2">
                  <c:v>0.235599092782998</c:v>
                </c:pt>
                <c:pt idx="3">
                  <c:v>0.315711174159231</c:v>
                </c:pt>
                <c:pt idx="4">
                  <c:v>0.357721741430076</c:v>
                </c:pt>
                <c:pt idx="5">
                  <c:v>0.367934079675436</c:v>
                </c:pt>
                <c:pt idx="6">
                  <c:v>0.349178651685579</c:v>
                </c:pt>
                <c:pt idx="7">
                  <c:v>0.301307831588513</c:v>
                </c:pt>
                <c:pt idx="8">
                  <c:v>0.222397678570744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'Q2'!$L$129</c:f>
              <c:strCache>
                <c:ptCount val="1"/>
                <c:pt idx="0">
                  <c:v>0.05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'Q2'!$J$131:$J$139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'Q2'!$L$131:$L$139</c:f>
              <c:numCache>
                <c:formatCode>0.0000</c:formatCode>
                <c:ptCount val="9"/>
                <c:pt idx="0">
                  <c:v>-0.0706447067943188</c:v>
                </c:pt>
                <c:pt idx="1">
                  <c:v>0.112021525279705</c:v>
                </c:pt>
                <c:pt idx="2">
                  <c:v>0.240952909498748</c:v>
                </c:pt>
                <c:pt idx="3">
                  <c:v>0.321896321523566</c:v>
                </c:pt>
                <c:pt idx="4">
                  <c:v>0.364225383582235</c:v>
                </c:pt>
                <c:pt idx="5">
                  <c:v>0.374743406716739</c:v>
                </c:pt>
                <c:pt idx="6">
                  <c:v>0.356420106005826</c:v>
                </c:pt>
                <c:pt idx="7">
                  <c:v>0.308993538900655</c:v>
                </c:pt>
                <c:pt idx="8">
                  <c:v>0.230233790830249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'Q2'!$M$129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'Q2'!$J$131:$J$139</c:f>
              <c:numCache>
                <c:formatCode>General</c:formatCode>
                <c:ptCount val="9"/>
                <c:pt idx="0">
                  <c:v>80.0</c:v>
                </c:pt>
                <c:pt idx="1">
                  <c:v>85.0</c:v>
                </c:pt>
                <c:pt idx="2">
                  <c:v>90.0</c:v>
                </c:pt>
                <c:pt idx="3">
                  <c:v>95.0</c:v>
                </c:pt>
                <c:pt idx="4">
                  <c:v>100.0</c:v>
                </c:pt>
                <c:pt idx="5">
                  <c:v>105.0</c:v>
                </c:pt>
                <c:pt idx="6">
                  <c:v>110.0</c:v>
                </c:pt>
                <c:pt idx="7">
                  <c:v>115.0</c:v>
                </c:pt>
                <c:pt idx="8">
                  <c:v>120.0</c:v>
                </c:pt>
              </c:numCache>
            </c:numRef>
          </c:cat>
          <c:val>
            <c:numRef>
              <c:f>'Q2'!$M$131:$M$139</c:f>
              <c:numCache>
                <c:formatCode>0.0000</c:formatCode>
                <c:ptCount val="9"/>
                <c:pt idx="0">
                  <c:v>-0.072410322578861</c:v>
                </c:pt>
                <c:pt idx="1">
                  <c:v>0.115519095548855</c:v>
                </c:pt>
                <c:pt idx="2">
                  <c:v>0.24654192987683</c:v>
                </c:pt>
                <c:pt idx="3">
                  <c:v>0.328128292512021</c:v>
                </c:pt>
                <c:pt idx="4">
                  <c:v>0.370666067991936</c:v>
                </c:pt>
                <c:pt idx="5">
                  <c:v>0.381447283370752</c:v>
                </c:pt>
                <c:pt idx="6">
                  <c:v>0.363575222193525</c:v>
                </c:pt>
                <c:pt idx="7">
                  <c:v>0.316673557135594</c:v>
                </c:pt>
                <c:pt idx="8">
                  <c:v>0.238208986190537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45281344"/>
        <c:axId val="-2044874656"/>
      </c:lineChart>
      <c:catAx>
        <c:axId val="-204528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4874656"/>
        <c:crosses val="autoZero"/>
        <c:auto val="1"/>
        <c:lblAlgn val="ctr"/>
        <c:lblOffset val="100"/>
        <c:noMultiLvlLbl val="0"/>
      </c:catAx>
      <c:valAx>
        <c:axId val="-204487465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528134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European DO Call Option Price with Difference Monitoing Frequencies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'Q4'!$F$6</c:f>
              <c:strCache>
                <c:ptCount val="1"/>
                <c:pt idx="0">
                  <c:v>Continuously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'Q4'!$E$9:$E$58</c:f>
              <c:numCache>
                <c:formatCode>General</c:formatCode>
                <c:ptCount val="50"/>
                <c:pt idx="0">
                  <c:v>20.0</c:v>
                </c:pt>
                <c:pt idx="1">
                  <c:v>40.0</c:v>
                </c:pt>
                <c:pt idx="2">
                  <c:v>60.0</c:v>
                </c:pt>
                <c:pt idx="3">
                  <c:v>80.0</c:v>
                </c:pt>
                <c:pt idx="4">
                  <c:v>100.0</c:v>
                </c:pt>
                <c:pt idx="5">
                  <c:v>120.0</c:v>
                </c:pt>
                <c:pt idx="6">
                  <c:v>140.0</c:v>
                </c:pt>
                <c:pt idx="7">
                  <c:v>160.0</c:v>
                </c:pt>
                <c:pt idx="8">
                  <c:v>180.0</c:v>
                </c:pt>
                <c:pt idx="9">
                  <c:v>200.0</c:v>
                </c:pt>
                <c:pt idx="10">
                  <c:v>220.0</c:v>
                </c:pt>
                <c:pt idx="11">
                  <c:v>240.0</c:v>
                </c:pt>
                <c:pt idx="12">
                  <c:v>260.0</c:v>
                </c:pt>
                <c:pt idx="13">
                  <c:v>280.0</c:v>
                </c:pt>
                <c:pt idx="14">
                  <c:v>300.0</c:v>
                </c:pt>
                <c:pt idx="15">
                  <c:v>320.0</c:v>
                </c:pt>
                <c:pt idx="16">
                  <c:v>340.0</c:v>
                </c:pt>
                <c:pt idx="17">
                  <c:v>360.0</c:v>
                </c:pt>
                <c:pt idx="18">
                  <c:v>380.0</c:v>
                </c:pt>
                <c:pt idx="19">
                  <c:v>400.0</c:v>
                </c:pt>
                <c:pt idx="20">
                  <c:v>420.0</c:v>
                </c:pt>
                <c:pt idx="21">
                  <c:v>440.0</c:v>
                </c:pt>
                <c:pt idx="22">
                  <c:v>460.0</c:v>
                </c:pt>
                <c:pt idx="23">
                  <c:v>480.0</c:v>
                </c:pt>
                <c:pt idx="24">
                  <c:v>500.0</c:v>
                </c:pt>
                <c:pt idx="25">
                  <c:v>520.0</c:v>
                </c:pt>
                <c:pt idx="26">
                  <c:v>540.0</c:v>
                </c:pt>
                <c:pt idx="27">
                  <c:v>560.0</c:v>
                </c:pt>
                <c:pt idx="28">
                  <c:v>580.0</c:v>
                </c:pt>
                <c:pt idx="29">
                  <c:v>600.0</c:v>
                </c:pt>
                <c:pt idx="30">
                  <c:v>620.0</c:v>
                </c:pt>
                <c:pt idx="31">
                  <c:v>640.0</c:v>
                </c:pt>
                <c:pt idx="32">
                  <c:v>660.0</c:v>
                </c:pt>
                <c:pt idx="33">
                  <c:v>680.0</c:v>
                </c:pt>
                <c:pt idx="34">
                  <c:v>700.0</c:v>
                </c:pt>
                <c:pt idx="35">
                  <c:v>720.0</c:v>
                </c:pt>
                <c:pt idx="36">
                  <c:v>740.0</c:v>
                </c:pt>
                <c:pt idx="37">
                  <c:v>760.0</c:v>
                </c:pt>
                <c:pt idx="38">
                  <c:v>780.0</c:v>
                </c:pt>
                <c:pt idx="39">
                  <c:v>800.0</c:v>
                </c:pt>
                <c:pt idx="40">
                  <c:v>820.0</c:v>
                </c:pt>
                <c:pt idx="41">
                  <c:v>840.0</c:v>
                </c:pt>
                <c:pt idx="42">
                  <c:v>860.0</c:v>
                </c:pt>
                <c:pt idx="43">
                  <c:v>880.0</c:v>
                </c:pt>
                <c:pt idx="44">
                  <c:v>900.0</c:v>
                </c:pt>
                <c:pt idx="45">
                  <c:v>920.0</c:v>
                </c:pt>
                <c:pt idx="46">
                  <c:v>940.0</c:v>
                </c:pt>
                <c:pt idx="47">
                  <c:v>960.0</c:v>
                </c:pt>
                <c:pt idx="48">
                  <c:v>980.0</c:v>
                </c:pt>
                <c:pt idx="49">
                  <c:v>1000.0</c:v>
                </c:pt>
              </c:numCache>
            </c:numRef>
          </c:cat>
          <c:val>
            <c:numRef>
              <c:f>'Q4'!$F$9:$F$58</c:f>
              <c:numCache>
                <c:formatCode>0.0000</c:formatCode>
                <c:ptCount val="50"/>
                <c:pt idx="0">
                  <c:v>5.20956818391434</c:v>
                </c:pt>
                <c:pt idx="1">
                  <c:v>5.182616928863135</c:v>
                </c:pt>
                <c:pt idx="2">
                  <c:v>5.183791113315644</c:v>
                </c:pt>
                <c:pt idx="3">
                  <c:v>5.186977973198941</c:v>
                </c:pt>
                <c:pt idx="4">
                  <c:v>5.187784175234644</c:v>
                </c:pt>
                <c:pt idx="5">
                  <c:v>5.18451260165111</c:v>
                </c:pt>
                <c:pt idx="6">
                  <c:v>5.182688350023549</c:v>
                </c:pt>
                <c:pt idx="7">
                  <c:v>5.181677071976418</c:v>
                </c:pt>
                <c:pt idx="8">
                  <c:v>5.18127644899013</c:v>
                </c:pt>
                <c:pt idx="9">
                  <c:v>5.181622138286827</c:v>
                </c:pt>
                <c:pt idx="10">
                  <c:v>5.181984975969907</c:v>
                </c:pt>
                <c:pt idx="11">
                  <c:v>5.182356229749456</c:v>
                </c:pt>
                <c:pt idx="12">
                  <c:v>5.182729781163073</c:v>
                </c:pt>
                <c:pt idx="13">
                  <c:v>5.182900600863984</c:v>
                </c:pt>
                <c:pt idx="14">
                  <c:v>5.18239014375887</c:v>
                </c:pt>
                <c:pt idx="15">
                  <c:v>5.181993536836932</c:v>
                </c:pt>
                <c:pt idx="16">
                  <c:v>5.181686641397631</c:v>
                </c:pt>
                <c:pt idx="17">
                  <c:v>5.181451197866584</c:v>
                </c:pt>
                <c:pt idx="18">
                  <c:v>5.181273191761644</c:v>
                </c:pt>
                <c:pt idx="19">
                  <c:v>5.181173696970583</c:v>
                </c:pt>
                <c:pt idx="20">
                  <c:v>5.181275833006262</c:v>
                </c:pt>
                <c:pt idx="21">
                  <c:v>5.181378494181737</c:v>
                </c:pt>
                <c:pt idx="22">
                  <c:v>5.181481562307822</c:v>
                </c:pt>
                <c:pt idx="23">
                  <c:v>5.181584887079232</c:v>
                </c:pt>
                <c:pt idx="24">
                  <c:v>5.181688307145453</c:v>
                </c:pt>
                <c:pt idx="25">
                  <c:v>5.181791662662868</c:v>
                </c:pt>
                <c:pt idx="26">
                  <c:v>5.181894802408331</c:v>
                </c:pt>
                <c:pt idx="27">
                  <c:v>5.181798364311664</c:v>
                </c:pt>
                <c:pt idx="28">
                  <c:v>5.18166172150539</c:v>
                </c:pt>
                <c:pt idx="29">
                  <c:v>5.181542954506746</c:v>
                </c:pt>
                <c:pt idx="30">
                  <c:v>5.18143997491188</c:v>
                </c:pt>
                <c:pt idx="31">
                  <c:v>5.181350978434038</c:v>
                </c:pt>
                <c:pt idx="32">
                  <c:v>5.181274399911528</c:v>
                </c:pt>
                <c:pt idx="33">
                  <c:v>5.181208876462793</c:v>
                </c:pt>
                <c:pt idx="34">
                  <c:v>5.181153217134383</c:v>
                </c:pt>
                <c:pt idx="35">
                  <c:v>5.181169526756271</c:v>
                </c:pt>
                <c:pt idx="36">
                  <c:v>5.181212693672247</c:v>
                </c:pt>
                <c:pt idx="37">
                  <c:v>5.181255410820164</c:v>
                </c:pt>
                <c:pt idx="38">
                  <c:v>5.181297742531077</c:v>
                </c:pt>
                <c:pt idx="39">
                  <c:v>5.181339738873018</c:v>
                </c:pt>
                <c:pt idx="40">
                  <c:v>5.181381438601705</c:v>
                </c:pt>
                <c:pt idx="41">
                  <c:v>5.181422871421281</c:v>
                </c:pt>
                <c:pt idx="42">
                  <c:v>5.181464059789995</c:v>
                </c:pt>
                <c:pt idx="43">
                  <c:v>5.181505020449359</c:v>
                </c:pt>
                <c:pt idx="44">
                  <c:v>5.181549608501198</c:v>
                </c:pt>
                <c:pt idx="45">
                  <c:v>5.181489359247537</c:v>
                </c:pt>
                <c:pt idx="46">
                  <c:v>5.181434089338912</c:v>
                </c:pt>
                <c:pt idx="47">
                  <c:v>5.181383432388631</c:v>
                </c:pt>
                <c:pt idx="48">
                  <c:v>5.181337053644052</c:v>
                </c:pt>
                <c:pt idx="49">
                  <c:v>5.181294646944808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'Q4'!$G$6</c:f>
              <c:strCache>
                <c:ptCount val="1"/>
                <c:pt idx="0">
                  <c:v>Hourly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'Q4'!$E$9:$E$58</c:f>
              <c:numCache>
                <c:formatCode>General</c:formatCode>
                <c:ptCount val="50"/>
                <c:pt idx="0">
                  <c:v>20.0</c:v>
                </c:pt>
                <c:pt idx="1">
                  <c:v>40.0</c:v>
                </c:pt>
                <c:pt idx="2">
                  <c:v>60.0</c:v>
                </c:pt>
                <c:pt idx="3">
                  <c:v>80.0</c:v>
                </c:pt>
                <c:pt idx="4">
                  <c:v>100.0</c:v>
                </c:pt>
                <c:pt idx="5">
                  <c:v>120.0</c:v>
                </c:pt>
                <c:pt idx="6">
                  <c:v>140.0</c:v>
                </c:pt>
                <c:pt idx="7">
                  <c:v>160.0</c:v>
                </c:pt>
                <c:pt idx="8">
                  <c:v>180.0</c:v>
                </c:pt>
                <c:pt idx="9">
                  <c:v>200.0</c:v>
                </c:pt>
                <c:pt idx="10">
                  <c:v>220.0</c:v>
                </c:pt>
                <c:pt idx="11">
                  <c:v>240.0</c:v>
                </c:pt>
                <c:pt idx="12">
                  <c:v>260.0</c:v>
                </c:pt>
                <c:pt idx="13">
                  <c:v>280.0</c:v>
                </c:pt>
                <c:pt idx="14">
                  <c:v>300.0</c:v>
                </c:pt>
                <c:pt idx="15">
                  <c:v>320.0</c:v>
                </c:pt>
                <c:pt idx="16">
                  <c:v>340.0</c:v>
                </c:pt>
                <c:pt idx="17">
                  <c:v>360.0</c:v>
                </c:pt>
                <c:pt idx="18">
                  <c:v>380.0</c:v>
                </c:pt>
                <c:pt idx="19">
                  <c:v>400.0</c:v>
                </c:pt>
                <c:pt idx="20">
                  <c:v>420.0</c:v>
                </c:pt>
                <c:pt idx="21">
                  <c:v>440.0</c:v>
                </c:pt>
                <c:pt idx="22">
                  <c:v>460.0</c:v>
                </c:pt>
                <c:pt idx="23">
                  <c:v>480.0</c:v>
                </c:pt>
                <c:pt idx="24">
                  <c:v>500.0</c:v>
                </c:pt>
                <c:pt idx="25">
                  <c:v>520.0</c:v>
                </c:pt>
                <c:pt idx="26">
                  <c:v>540.0</c:v>
                </c:pt>
                <c:pt idx="27">
                  <c:v>560.0</c:v>
                </c:pt>
                <c:pt idx="28">
                  <c:v>580.0</c:v>
                </c:pt>
                <c:pt idx="29">
                  <c:v>600.0</c:v>
                </c:pt>
                <c:pt idx="30">
                  <c:v>620.0</c:v>
                </c:pt>
                <c:pt idx="31">
                  <c:v>640.0</c:v>
                </c:pt>
                <c:pt idx="32">
                  <c:v>660.0</c:v>
                </c:pt>
                <c:pt idx="33">
                  <c:v>680.0</c:v>
                </c:pt>
                <c:pt idx="34">
                  <c:v>700.0</c:v>
                </c:pt>
                <c:pt idx="35">
                  <c:v>720.0</c:v>
                </c:pt>
                <c:pt idx="36">
                  <c:v>740.0</c:v>
                </c:pt>
                <c:pt idx="37">
                  <c:v>760.0</c:v>
                </c:pt>
                <c:pt idx="38">
                  <c:v>780.0</c:v>
                </c:pt>
                <c:pt idx="39">
                  <c:v>800.0</c:v>
                </c:pt>
                <c:pt idx="40">
                  <c:v>820.0</c:v>
                </c:pt>
                <c:pt idx="41">
                  <c:v>840.0</c:v>
                </c:pt>
                <c:pt idx="42">
                  <c:v>860.0</c:v>
                </c:pt>
                <c:pt idx="43">
                  <c:v>880.0</c:v>
                </c:pt>
                <c:pt idx="44">
                  <c:v>900.0</c:v>
                </c:pt>
                <c:pt idx="45">
                  <c:v>920.0</c:v>
                </c:pt>
                <c:pt idx="46">
                  <c:v>940.0</c:v>
                </c:pt>
                <c:pt idx="47">
                  <c:v>960.0</c:v>
                </c:pt>
                <c:pt idx="48">
                  <c:v>980.0</c:v>
                </c:pt>
                <c:pt idx="49">
                  <c:v>1000.0</c:v>
                </c:pt>
              </c:numCache>
            </c:numRef>
          </c:cat>
          <c:val>
            <c:numRef>
              <c:f>'Q4'!$G$9:$G$58</c:f>
              <c:numCache>
                <c:formatCode>0.0000</c:formatCode>
                <c:ptCount val="50"/>
                <c:pt idx="0">
                  <c:v>10.42085741135488</c:v>
                </c:pt>
                <c:pt idx="1">
                  <c:v>9.185102457374984</c:v>
                </c:pt>
                <c:pt idx="2">
                  <c:v>8.590418494316097</c:v>
                </c:pt>
                <c:pt idx="3">
                  <c:v>8.213126000240441</c:v>
                </c:pt>
                <c:pt idx="4">
                  <c:v>7.943179168359367</c:v>
                </c:pt>
                <c:pt idx="5">
                  <c:v>7.73586941459609</c:v>
                </c:pt>
                <c:pt idx="6">
                  <c:v>7.572397202996205</c:v>
                </c:pt>
                <c:pt idx="7">
                  <c:v>7.439139802399687</c:v>
                </c:pt>
                <c:pt idx="8">
                  <c:v>7.328998436338714</c:v>
                </c:pt>
                <c:pt idx="9">
                  <c:v>7.235212570809782</c:v>
                </c:pt>
                <c:pt idx="10">
                  <c:v>7.153777423434528</c:v>
                </c:pt>
                <c:pt idx="11">
                  <c:v>7.082199521082667</c:v>
                </c:pt>
                <c:pt idx="12">
                  <c:v>7.018674413356519</c:v>
                </c:pt>
                <c:pt idx="13">
                  <c:v>6.960716121808844</c:v>
                </c:pt>
                <c:pt idx="14">
                  <c:v>6.908462646499514</c:v>
                </c:pt>
                <c:pt idx="15">
                  <c:v>6.861032963816655</c:v>
                </c:pt>
                <c:pt idx="16">
                  <c:v>6.817725714582302</c:v>
                </c:pt>
                <c:pt idx="17">
                  <c:v>6.777974657269514</c:v>
                </c:pt>
                <c:pt idx="18">
                  <c:v>6.741505730420751</c:v>
                </c:pt>
                <c:pt idx="19">
                  <c:v>6.707947021162121</c:v>
                </c:pt>
                <c:pt idx="20">
                  <c:v>6.676711767091665</c:v>
                </c:pt>
                <c:pt idx="21">
                  <c:v>6.647543924935836</c:v>
                </c:pt>
                <c:pt idx="22">
                  <c:v>6.620225222521184</c:v>
                </c:pt>
                <c:pt idx="23">
                  <c:v>6.594568297863619</c:v>
                </c:pt>
                <c:pt idx="24">
                  <c:v>6.570411299484713</c:v>
                </c:pt>
                <c:pt idx="25">
                  <c:v>6.547478182284166</c:v>
                </c:pt>
                <c:pt idx="26">
                  <c:v>6.525627185591806</c:v>
                </c:pt>
                <c:pt idx="27">
                  <c:v>6.504930710786654</c:v>
                </c:pt>
                <c:pt idx="28">
                  <c:v>6.485290425115044</c:v>
                </c:pt>
                <c:pt idx="29">
                  <c:v>6.466619339505886</c:v>
                </c:pt>
                <c:pt idx="30">
                  <c:v>6.448840179542647</c:v>
                </c:pt>
                <c:pt idx="31">
                  <c:v>6.431884033695163</c:v>
                </c:pt>
                <c:pt idx="32">
                  <c:v>6.415689224375225</c:v>
                </c:pt>
                <c:pt idx="33">
                  <c:v>6.400360741300625</c:v>
                </c:pt>
                <c:pt idx="34">
                  <c:v>6.385675571631514</c:v>
                </c:pt>
                <c:pt idx="35">
                  <c:v>6.371586259106142</c:v>
                </c:pt>
                <c:pt idx="36">
                  <c:v>6.35805364068612</c:v>
                </c:pt>
                <c:pt idx="37">
                  <c:v>6.345042057659399</c:v>
                </c:pt>
                <c:pt idx="38">
                  <c:v>6.332518963321426</c:v>
                </c:pt>
                <c:pt idx="39">
                  <c:v>6.32045458294365</c:v>
                </c:pt>
                <c:pt idx="40">
                  <c:v>6.308821617988548</c:v>
                </c:pt>
                <c:pt idx="41">
                  <c:v>6.297620637915845</c:v>
                </c:pt>
                <c:pt idx="42">
                  <c:v>6.28665301543028</c:v>
                </c:pt>
                <c:pt idx="43">
                  <c:v>6.276054707543682</c:v>
                </c:pt>
                <c:pt idx="44">
                  <c:v>6.265805443368354</c:v>
                </c:pt>
                <c:pt idx="45">
                  <c:v>6.255886475798018</c:v>
                </c:pt>
                <c:pt idx="46">
                  <c:v>6.246280437231244</c:v>
                </c:pt>
                <c:pt idx="47">
                  <c:v>6.236971211940841</c:v>
                </c:pt>
                <c:pt idx="48">
                  <c:v>6.227943822336418</c:v>
                </c:pt>
                <c:pt idx="49">
                  <c:v>6.219184327773535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'Q4'!$H$6</c:f>
              <c:strCache>
                <c:ptCount val="1"/>
                <c:pt idx="0">
                  <c:v>Daily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'Q4'!$E$9:$E$58</c:f>
              <c:numCache>
                <c:formatCode>General</c:formatCode>
                <c:ptCount val="50"/>
                <c:pt idx="0">
                  <c:v>20.0</c:v>
                </c:pt>
                <c:pt idx="1">
                  <c:v>40.0</c:v>
                </c:pt>
                <c:pt idx="2">
                  <c:v>60.0</c:v>
                </c:pt>
                <c:pt idx="3">
                  <c:v>80.0</c:v>
                </c:pt>
                <c:pt idx="4">
                  <c:v>100.0</c:v>
                </c:pt>
                <c:pt idx="5">
                  <c:v>120.0</c:v>
                </c:pt>
                <c:pt idx="6">
                  <c:v>140.0</c:v>
                </c:pt>
                <c:pt idx="7">
                  <c:v>160.0</c:v>
                </c:pt>
                <c:pt idx="8">
                  <c:v>180.0</c:v>
                </c:pt>
                <c:pt idx="9">
                  <c:v>200.0</c:v>
                </c:pt>
                <c:pt idx="10">
                  <c:v>220.0</c:v>
                </c:pt>
                <c:pt idx="11">
                  <c:v>240.0</c:v>
                </c:pt>
                <c:pt idx="12">
                  <c:v>260.0</c:v>
                </c:pt>
                <c:pt idx="13">
                  <c:v>280.0</c:v>
                </c:pt>
                <c:pt idx="14">
                  <c:v>300.0</c:v>
                </c:pt>
                <c:pt idx="15">
                  <c:v>320.0</c:v>
                </c:pt>
                <c:pt idx="16">
                  <c:v>340.0</c:v>
                </c:pt>
                <c:pt idx="17">
                  <c:v>360.0</c:v>
                </c:pt>
                <c:pt idx="18">
                  <c:v>380.0</c:v>
                </c:pt>
                <c:pt idx="19">
                  <c:v>400.0</c:v>
                </c:pt>
                <c:pt idx="20">
                  <c:v>420.0</c:v>
                </c:pt>
                <c:pt idx="21">
                  <c:v>440.0</c:v>
                </c:pt>
                <c:pt idx="22">
                  <c:v>460.0</c:v>
                </c:pt>
                <c:pt idx="23">
                  <c:v>480.0</c:v>
                </c:pt>
                <c:pt idx="24">
                  <c:v>500.0</c:v>
                </c:pt>
                <c:pt idx="25">
                  <c:v>520.0</c:v>
                </c:pt>
                <c:pt idx="26">
                  <c:v>540.0</c:v>
                </c:pt>
                <c:pt idx="27">
                  <c:v>560.0</c:v>
                </c:pt>
                <c:pt idx="28">
                  <c:v>580.0</c:v>
                </c:pt>
                <c:pt idx="29">
                  <c:v>600.0</c:v>
                </c:pt>
                <c:pt idx="30">
                  <c:v>620.0</c:v>
                </c:pt>
                <c:pt idx="31">
                  <c:v>640.0</c:v>
                </c:pt>
                <c:pt idx="32">
                  <c:v>660.0</c:v>
                </c:pt>
                <c:pt idx="33">
                  <c:v>680.0</c:v>
                </c:pt>
                <c:pt idx="34">
                  <c:v>700.0</c:v>
                </c:pt>
                <c:pt idx="35">
                  <c:v>720.0</c:v>
                </c:pt>
                <c:pt idx="36">
                  <c:v>740.0</c:v>
                </c:pt>
                <c:pt idx="37">
                  <c:v>760.0</c:v>
                </c:pt>
                <c:pt idx="38">
                  <c:v>780.0</c:v>
                </c:pt>
                <c:pt idx="39">
                  <c:v>800.0</c:v>
                </c:pt>
                <c:pt idx="40">
                  <c:v>820.0</c:v>
                </c:pt>
                <c:pt idx="41">
                  <c:v>840.0</c:v>
                </c:pt>
                <c:pt idx="42">
                  <c:v>860.0</c:v>
                </c:pt>
                <c:pt idx="43">
                  <c:v>880.0</c:v>
                </c:pt>
                <c:pt idx="44">
                  <c:v>900.0</c:v>
                </c:pt>
                <c:pt idx="45">
                  <c:v>920.0</c:v>
                </c:pt>
                <c:pt idx="46">
                  <c:v>940.0</c:v>
                </c:pt>
                <c:pt idx="47">
                  <c:v>960.0</c:v>
                </c:pt>
                <c:pt idx="48">
                  <c:v>980.0</c:v>
                </c:pt>
                <c:pt idx="49">
                  <c:v>1000.0</c:v>
                </c:pt>
              </c:numCache>
            </c:numRef>
          </c:cat>
          <c:val>
            <c:numRef>
              <c:f>'Q4'!$H$9:$H$58</c:f>
              <c:numCache>
                <c:formatCode>0.0000</c:formatCode>
                <c:ptCount val="50"/>
                <c:pt idx="0">
                  <c:v>10.73181558147886</c:v>
                </c:pt>
                <c:pt idx="1">
                  <c:v>9.576075771567156</c:v>
                </c:pt>
                <c:pt idx="2">
                  <c:v>9.011435580661167</c:v>
                </c:pt>
                <c:pt idx="3">
                  <c:v>8.648950180467288</c:v>
                </c:pt>
                <c:pt idx="4">
                  <c:v>8.386957270156605</c:v>
                </c:pt>
                <c:pt idx="5">
                  <c:v>8.18973474319849</c:v>
                </c:pt>
                <c:pt idx="6">
                  <c:v>8.035959624100387</c:v>
                </c:pt>
                <c:pt idx="7">
                  <c:v>7.911496763316561</c:v>
                </c:pt>
                <c:pt idx="8">
                  <c:v>7.806904120512825</c:v>
                </c:pt>
                <c:pt idx="9">
                  <c:v>7.717410190981325</c:v>
                </c:pt>
                <c:pt idx="10">
                  <c:v>7.638603455882248</c:v>
                </c:pt>
                <c:pt idx="11">
                  <c:v>7.568932952422189</c:v>
                </c:pt>
                <c:pt idx="12">
                  <c:v>7.507169723327131</c:v>
                </c:pt>
                <c:pt idx="13">
                  <c:v>7.451919062755517</c:v>
                </c:pt>
                <c:pt idx="14">
                  <c:v>7.402452221000774</c:v>
                </c:pt>
                <c:pt idx="15">
                  <c:v>7.358000230235111</c:v>
                </c:pt>
                <c:pt idx="16">
                  <c:v>7.317316094563479</c:v>
                </c:pt>
                <c:pt idx="17">
                  <c:v>7.279897498431748</c:v>
                </c:pt>
                <c:pt idx="18">
                  <c:v>7.245330819591604</c:v>
                </c:pt>
                <c:pt idx="19">
                  <c:v>7.213375545980099</c:v>
                </c:pt>
                <c:pt idx="20">
                  <c:v>7.183027518921008</c:v>
                </c:pt>
                <c:pt idx="21">
                  <c:v>7.154714788814641</c:v>
                </c:pt>
                <c:pt idx="22">
                  <c:v>7.128219425521562</c:v>
                </c:pt>
                <c:pt idx="23">
                  <c:v>7.103354825480781</c:v>
                </c:pt>
                <c:pt idx="24">
                  <c:v>7.07996015219947</c:v>
                </c:pt>
                <c:pt idx="25">
                  <c:v>7.057900705420954</c:v>
                </c:pt>
                <c:pt idx="26">
                  <c:v>7.037373570717055</c:v>
                </c:pt>
                <c:pt idx="27">
                  <c:v>7.017906393767489</c:v>
                </c:pt>
                <c:pt idx="28">
                  <c:v>6.999411347614535</c:v>
                </c:pt>
                <c:pt idx="29">
                  <c:v>6.981810426930062</c:v>
                </c:pt>
                <c:pt idx="30">
                  <c:v>6.965034085018722</c:v>
                </c:pt>
                <c:pt idx="31">
                  <c:v>6.949020094316791</c:v>
                </c:pt>
                <c:pt idx="32">
                  <c:v>6.933773989249035</c:v>
                </c:pt>
                <c:pt idx="33">
                  <c:v>6.91891132838979</c:v>
                </c:pt>
                <c:pt idx="34">
                  <c:v>6.904675826899203</c:v>
                </c:pt>
                <c:pt idx="35">
                  <c:v>6.891024617309021</c:v>
                </c:pt>
                <c:pt idx="36">
                  <c:v>6.877918821434442</c:v>
                </c:pt>
                <c:pt idx="37">
                  <c:v>6.86532308578208</c:v>
                </c:pt>
                <c:pt idx="38">
                  <c:v>6.85320518149934</c:v>
                </c:pt>
                <c:pt idx="39">
                  <c:v>6.84153565830986</c:v>
                </c:pt>
                <c:pt idx="40">
                  <c:v>6.830352556882164</c:v>
                </c:pt>
                <c:pt idx="41">
                  <c:v>6.819655389734203</c:v>
                </c:pt>
                <c:pt idx="42">
                  <c:v>6.809319138197731</c:v>
                </c:pt>
                <c:pt idx="43">
                  <c:v>6.799324048090688</c:v>
                </c:pt>
                <c:pt idx="44">
                  <c:v>6.789651840152648</c:v>
                </c:pt>
                <c:pt idx="45">
                  <c:v>6.780285572065572</c:v>
                </c:pt>
                <c:pt idx="46">
                  <c:v>6.771209515714278</c:v>
                </c:pt>
                <c:pt idx="47">
                  <c:v>6.762409047968952</c:v>
                </c:pt>
                <c:pt idx="48">
                  <c:v>6.753870553250491</c:v>
                </c:pt>
                <c:pt idx="49">
                  <c:v>6.745540181119265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'Q4'!$I$6</c:f>
              <c:strCache>
                <c:ptCount val="1"/>
                <c:pt idx="0">
                  <c:v>Weekly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'Q4'!$E$9:$E$58</c:f>
              <c:numCache>
                <c:formatCode>General</c:formatCode>
                <c:ptCount val="50"/>
                <c:pt idx="0">
                  <c:v>20.0</c:v>
                </c:pt>
                <c:pt idx="1">
                  <c:v>40.0</c:v>
                </c:pt>
                <c:pt idx="2">
                  <c:v>60.0</c:v>
                </c:pt>
                <c:pt idx="3">
                  <c:v>80.0</c:v>
                </c:pt>
                <c:pt idx="4">
                  <c:v>100.0</c:v>
                </c:pt>
                <c:pt idx="5">
                  <c:v>120.0</c:v>
                </c:pt>
                <c:pt idx="6">
                  <c:v>140.0</c:v>
                </c:pt>
                <c:pt idx="7">
                  <c:v>160.0</c:v>
                </c:pt>
                <c:pt idx="8">
                  <c:v>180.0</c:v>
                </c:pt>
                <c:pt idx="9">
                  <c:v>200.0</c:v>
                </c:pt>
                <c:pt idx="10">
                  <c:v>220.0</c:v>
                </c:pt>
                <c:pt idx="11">
                  <c:v>240.0</c:v>
                </c:pt>
                <c:pt idx="12">
                  <c:v>260.0</c:v>
                </c:pt>
                <c:pt idx="13">
                  <c:v>280.0</c:v>
                </c:pt>
                <c:pt idx="14">
                  <c:v>300.0</c:v>
                </c:pt>
                <c:pt idx="15">
                  <c:v>320.0</c:v>
                </c:pt>
                <c:pt idx="16">
                  <c:v>340.0</c:v>
                </c:pt>
                <c:pt idx="17">
                  <c:v>360.0</c:v>
                </c:pt>
                <c:pt idx="18">
                  <c:v>380.0</c:v>
                </c:pt>
                <c:pt idx="19">
                  <c:v>400.0</c:v>
                </c:pt>
                <c:pt idx="20">
                  <c:v>420.0</c:v>
                </c:pt>
                <c:pt idx="21">
                  <c:v>440.0</c:v>
                </c:pt>
                <c:pt idx="22">
                  <c:v>460.0</c:v>
                </c:pt>
                <c:pt idx="23">
                  <c:v>480.0</c:v>
                </c:pt>
                <c:pt idx="24">
                  <c:v>500.0</c:v>
                </c:pt>
                <c:pt idx="25">
                  <c:v>520.0</c:v>
                </c:pt>
                <c:pt idx="26">
                  <c:v>540.0</c:v>
                </c:pt>
                <c:pt idx="27">
                  <c:v>560.0</c:v>
                </c:pt>
                <c:pt idx="28">
                  <c:v>580.0</c:v>
                </c:pt>
                <c:pt idx="29">
                  <c:v>600.0</c:v>
                </c:pt>
                <c:pt idx="30">
                  <c:v>620.0</c:v>
                </c:pt>
                <c:pt idx="31">
                  <c:v>640.0</c:v>
                </c:pt>
                <c:pt idx="32">
                  <c:v>660.0</c:v>
                </c:pt>
                <c:pt idx="33">
                  <c:v>680.0</c:v>
                </c:pt>
                <c:pt idx="34">
                  <c:v>700.0</c:v>
                </c:pt>
                <c:pt idx="35">
                  <c:v>720.0</c:v>
                </c:pt>
                <c:pt idx="36">
                  <c:v>740.0</c:v>
                </c:pt>
                <c:pt idx="37">
                  <c:v>760.0</c:v>
                </c:pt>
                <c:pt idx="38">
                  <c:v>780.0</c:v>
                </c:pt>
                <c:pt idx="39">
                  <c:v>800.0</c:v>
                </c:pt>
                <c:pt idx="40">
                  <c:v>820.0</c:v>
                </c:pt>
                <c:pt idx="41">
                  <c:v>840.0</c:v>
                </c:pt>
                <c:pt idx="42">
                  <c:v>860.0</c:v>
                </c:pt>
                <c:pt idx="43">
                  <c:v>880.0</c:v>
                </c:pt>
                <c:pt idx="44">
                  <c:v>900.0</c:v>
                </c:pt>
                <c:pt idx="45">
                  <c:v>920.0</c:v>
                </c:pt>
                <c:pt idx="46">
                  <c:v>940.0</c:v>
                </c:pt>
                <c:pt idx="47">
                  <c:v>960.0</c:v>
                </c:pt>
                <c:pt idx="48">
                  <c:v>980.0</c:v>
                </c:pt>
                <c:pt idx="49">
                  <c:v>1000.0</c:v>
                </c:pt>
              </c:numCache>
            </c:numRef>
          </c:cat>
          <c:val>
            <c:numRef>
              <c:f>'Q4'!$I$9:$I$58</c:f>
              <c:numCache>
                <c:formatCode>0.0000</c:formatCode>
                <c:ptCount val="50"/>
                <c:pt idx="0">
                  <c:v>11.31369645599088</c:v>
                </c:pt>
                <c:pt idx="1">
                  <c:v>10.32756644297823</c:v>
                </c:pt>
                <c:pt idx="2">
                  <c:v>9.808538490733235</c:v>
                </c:pt>
                <c:pt idx="3">
                  <c:v>9.472813102708615</c:v>
                </c:pt>
                <c:pt idx="4">
                  <c:v>9.244496351316227</c:v>
                </c:pt>
                <c:pt idx="5">
                  <c:v>9.072202060186162</c:v>
                </c:pt>
                <c:pt idx="6">
                  <c:v>8.934230476893752</c:v>
                </c:pt>
                <c:pt idx="7">
                  <c:v>8.817907625666066</c:v>
                </c:pt>
                <c:pt idx="8">
                  <c:v>8.720613736534446</c:v>
                </c:pt>
                <c:pt idx="9">
                  <c:v>8.638865209931877</c:v>
                </c:pt>
                <c:pt idx="10">
                  <c:v>8.569362866220858</c:v>
                </c:pt>
                <c:pt idx="11">
                  <c:v>8.507997812361507</c:v>
                </c:pt>
                <c:pt idx="12">
                  <c:v>8.453312451605967</c:v>
                </c:pt>
                <c:pt idx="13">
                  <c:v>8.403376003761946</c:v>
                </c:pt>
                <c:pt idx="14">
                  <c:v>8.35788442390645</c:v>
                </c:pt>
                <c:pt idx="15">
                  <c:v>8.316567158294148</c:v>
                </c:pt>
                <c:pt idx="16">
                  <c:v>8.278823120345544</c:v>
                </c:pt>
                <c:pt idx="17">
                  <c:v>8.24519635484893</c:v>
                </c:pt>
                <c:pt idx="18">
                  <c:v>8.21412796676443</c:v>
                </c:pt>
                <c:pt idx="19">
                  <c:v>8.185252400301257</c:v>
                </c:pt>
                <c:pt idx="20">
                  <c:v>8.158326039665798</c:v>
                </c:pt>
                <c:pt idx="21">
                  <c:v>8.133103412315412</c:v>
                </c:pt>
                <c:pt idx="22">
                  <c:v>8.108958704183639</c:v>
                </c:pt>
                <c:pt idx="23">
                  <c:v>8.08628725422639</c:v>
                </c:pt>
                <c:pt idx="24">
                  <c:v>8.064945566954815</c:v>
                </c:pt>
                <c:pt idx="25">
                  <c:v>8.044808924674994</c:v>
                </c:pt>
                <c:pt idx="26">
                  <c:v>8.025958705355766</c:v>
                </c:pt>
                <c:pt idx="27">
                  <c:v>8.008433927668564</c:v>
                </c:pt>
                <c:pt idx="28">
                  <c:v>7.991761423879235</c:v>
                </c:pt>
                <c:pt idx="29">
                  <c:v>7.97587514923359</c:v>
                </c:pt>
                <c:pt idx="30">
                  <c:v>7.960715923268728</c:v>
                </c:pt>
                <c:pt idx="31">
                  <c:v>7.946230550476381</c:v>
                </c:pt>
                <c:pt idx="32">
                  <c:v>7.932270729750378</c:v>
                </c:pt>
                <c:pt idx="33">
                  <c:v>7.918730417585778</c:v>
                </c:pt>
                <c:pt idx="34">
                  <c:v>7.905756025273555</c:v>
                </c:pt>
                <c:pt idx="35">
                  <c:v>7.89330939448861</c:v>
                </c:pt>
                <c:pt idx="36">
                  <c:v>7.881355859790836</c:v>
                </c:pt>
                <c:pt idx="37">
                  <c:v>7.869863849707149</c:v>
                </c:pt>
                <c:pt idx="38">
                  <c:v>7.858991238299111</c:v>
                </c:pt>
                <c:pt idx="39">
                  <c:v>7.848624042082591</c:v>
                </c:pt>
                <c:pt idx="40">
                  <c:v>7.83861400292199</c:v>
                </c:pt>
                <c:pt idx="41">
                  <c:v>7.828941352187417</c:v>
                </c:pt>
                <c:pt idx="42">
                  <c:v>7.819587800673866</c:v>
                </c:pt>
                <c:pt idx="43">
                  <c:v>7.8105364010488</c:v>
                </c:pt>
                <c:pt idx="44">
                  <c:v>7.80177142551677</c:v>
                </c:pt>
                <c:pt idx="45">
                  <c:v>7.793195086862008</c:v>
                </c:pt>
                <c:pt idx="46">
                  <c:v>7.784808887402274</c:v>
                </c:pt>
                <c:pt idx="47">
                  <c:v>7.776677878616115</c:v>
                </c:pt>
                <c:pt idx="48">
                  <c:v>7.768789459190223</c:v>
                </c:pt>
                <c:pt idx="49">
                  <c:v>7.761131877747902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'Q4'!$J$6</c:f>
              <c:strCache>
                <c:ptCount val="1"/>
                <c:pt idx="0">
                  <c:v>Monthly</c:v>
                </c:pt>
              </c:strCache>
            </c:strRef>
          </c:tx>
          <c:spPr>
            <a:ln w="22225" cap="rnd" cmpd="sng" algn="ctr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'Q4'!$E$9:$E$58</c:f>
              <c:numCache>
                <c:formatCode>General</c:formatCode>
                <c:ptCount val="50"/>
                <c:pt idx="0">
                  <c:v>20.0</c:v>
                </c:pt>
                <c:pt idx="1">
                  <c:v>40.0</c:v>
                </c:pt>
                <c:pt idx="2">
                  <c:v>60.0</c:v>
                </c:pt>
                <c:pt idx="3">
                  <c:v>80.0</c:v>
                </c:pt>
                <c:pt idx="4">
                  <c:v>100.0</c:v>
                </c:pt>
                <c:pt idx="5">
                  <c:v>120.0</c:v>
                </c:pt>
                <c:pt idx="6">
                  <c:v>140.0</c:v>
                </c:pt>
                <c:pt idx="7">
                  <c:v>160.0</c:v>
                </c:pt>
                <c:pt idx="8">
                  <c:v>180.0</c:v>
                </c:pt>
                <c:pt idx="9">
                  <c:v>200.0</c:v>
                </c:pt>
                <c:pt idx="10">
                  <c:v>220.0</c:v>
                </c:pt>
                <c:pt idx="11">
                  <c:v>240.0</c:v>
                </c:pt>
                <c:pt idx="12">
                  <c:v>260.0</c:v>
                </c:pt>
                <c:pt idx="13">
                  <c:v>280.0</c:v>
                </c:pt>
                <c:pt idx="14">
                  <c:v>300.0</c:v>
                </c:pt>
                <c:pt idx="15">
                  <c:v>320.0</c:v>
                </c:pt>
                <c:pt idx="16">
                  <c:v>340.0</c:v>
                </c:pt>
                <c:pt idx="17">
                  <c:v>360.0</c:v>
                </c:pt>
                <c:pt idx="18">
                  <c:v>380.0</c:v>
                </c:pt>
                <c:pt idx="19">
                  <c:v>400.0</c:v>
                </c:pt>
                <c:pt idx="20">
                  <c:v>420.0</c:v>
                </c:pt>
                <c:pt idx="21">
                  <c:v>440.0</c:v>
                </c:pt>
                <c:pt idx="22">
                  <c:v>460.0</c:v>
                </c:pt>
                <c:pt idx="23">
                  <c:v>480.0</c:v>
                </c:pt>
                <c:pt idx="24">
                  <c:v>500.0</c:v>
                </c:pt>
                <c:pt idx="25">
                  <c:v>520.0</c:v>
                </c:pt>
                <c:pt idx="26">
                  <c:v>540.0</c:v>
                </c:pt>
                <c:pt idx="27">
                  <c:v>560.0</c:v>
                </c:pt>
                <c:pt idx="28">
                  <c:v>580.0</c:v>
                </c:pt>
                <c:pt idx="29">
                  <c:v>600.0</c:v>
                </c:pt>
                <c:pt idx="30">
                  <c:v>620.0</c:v>
                </c:pt>
                <c:pt idx="31">
                  <c:v>640.0</c:v>
                </c:pt>
                <c:pt idx="32">
                  <c:v>660.0</c:v>
                </c:pt>
                <c:pt idx="33">
                  <c:v>680.0</c:v>
                </c:pt>
                <c:pt idx="34">
                  <c:v>700.0</c:v>
                </c:pt>
                <c:pt idx="35">
                  <c:v>720.0</c:v>
                </c:pt>
                <c:pt idx="36">
                  <c:v>740.0</c:v>
                </c:pt>
                <c:pt idx="37">
                  <c:v>760.0</c:v>
                </c:pt>
                <c:pt idx="38">
                  <c:v>780.0</c:v>
                </c:pt>
                <c:pt idx="39">
                  <c:v>800.0</c:v>
                </c:pt>
                <c:pt idx="40">
                  <c:v>820.0</c:v>
                </c:pt>
                <c:pt idx="41">
                  <c:v>840.0</c:v>
                </c:pt>
                <c:pt idx="42">
                  <c:v>860.0</c:v>
                </c:pt>
                <c:pt idx="43">
                  <c:v>880.0</c:v>
                </c:pt>
                <c:pt idx="44">
                  <c:v>900.0</c:v>
                </c:pt>
                <c:pt idx="45">
                  <c:v>920.0</c:v>
                </c:pt>
                <c:pt idx="46">
                  <c:v>940.0</c:v>
                </c:pt>
                <c:pt idx="47">
                  <c:v>960.0</c:v>
                </c:pt>
                <c:pt idx="48">
                  <c:v>980.0</c:v>
                </c:pt>
                <c:pt idx="49">
                  <c:v>1000.0</c:v>
                </c:pt>
              </c:numCache>
            </c:numRef>
          </c:cat>
          <c:val>
            <c:numRef>
              <c:f>'Q4'!$J$9:$J$58</c:f>
              <c:numCache>
                <c:formatCode>0.0000</c:formatCode>
                <c:ptCount val="50"/>
                <c:pt idx="0">
                  <c:v>12.25558601464304</c:v>
                </c:pt>
                <c:pt idx="1">
                  <c:v>11.41339162971706</c:v>
                </c:pt>
                <c:pt idx="2">
                  <c:v>10.99445622794491</c:v>
                </c:pt>
                <c:pt idx="3">
                  <c:v>10.73256251826815</c:v>
                </c:pt>
                <c:pt idx="4">
                  <c:v>10.53182877215408</c:v>
                </c:pt>
                <c:pt idx="5">
                  <c:v>10.3881980045647</c:v>
                </c:pt>
                <c:pt idx="6">
                  <c:v>10.27717616989579</c:v>
                </c:pt>
                <c:pt idx="7">
                  <c:v>10.18253030702396</c:v>
                </c:pt>
                <c:pt idx="8">
                  <c:v>10.10010367699524</c:v>
                </c:pt>
                <c:pt idx="9">
                  <c:v>10.03167048322195</c:v>
                </c:pt>
                <c:pt idx="10">
                  <c:v>9.975189729962035</c:v>
                </c:pt>
                <c:pt idx="11">
                  <c:v>9.924777069497077</c:v>
                </c:pt>
                <c:pt idx="12">
                  <c:v>9.878320574470381</c:v>
                </c:pt>
                <c:pt idx="13">
                  <c:v>9.83563392167271</c:v>
                </c:pt>
                <c:pt idx="14">
                  <c:v>9.797022925904988</c:v>
                </c:pt>
                <c:pt idx="15">
                  <c:v>9.764380592602275</c:v>
                </c:pt>
                <c:pt idx="16">
                  <c:v>9.734417251196147</c:v>
                </c:pt>
                <c:pt idx="17">
                  <c:v>9.7066084514389</c:v>
                </c:pt>
                <c:pt idx="18">
                  <c:v>9.680153625134046</c:v>
                </c:pt>
                <c:pt idx="19">
                  <c:v>9.655000049370515</c:v>
                </c:pt>
                <c:pt idx="20">
                  <c:v>9.631544773900227</c:v>
                </c:pt>
                <c:pt idx="21">
                  <c:v>9.610064477520738</c:v>
                </c:pt>
                <c:pt idx="22">
                  <c:v>9.590961912384783</c:v>
                </c:pt>
                <c:pt idx="23">
                  <c:v>9.572874272368725</c:v>
                </c:pt>
                <c:pt idx="24">
                  <c:v>9.555720205334115</c:v>
                </c:pt>
                <c:pt idx="25">
                  <c:v>9.539255444973939</c:v>
                </c:pt>
                <c:pt idx="26">
                  <c:v>9.52313231966399</c:v>
                </c:pt>
                <c:pt idx="27">
                  <c:v>9.507817365543035</c:v>
                </c:pt>
                <c:pt idx="28">
                  <c:v>9.493246691730282</c:v>
                </c:pt>
                <c:pt idx="29">
                  <c:v>9.47979397969716</c:v>
                </c:pt>
                <c:pt idx="30">
                  <c:v>9.46745209726542</c:v>
                </c:pt>
                <c:pt idx="31">
                  <c:v>9.455600104629828</c:v>
                </c:pt>
                <c:pt idx="32">
                  <c:v>9.444208554929962</c:v>
                </c:pt>
                <c:pt idx="33">
                  <c:v>9.43333935279587</c:v>
                </c:pt>
                <c:pt idx="34">
                  <c:v>9.422367394401337</c:v>
                </c:pt>
                <c:pt idx="35">
                  <c:v>9.411818712910225</c:v>
                </c:pt>
                <c:pt idx="36">
                  <c:v>9.401667495999248</c:v>
                </c:pt>
                <c:pt idx="37">
                  <c:v>9.39189002632786</c:v>
                </c:pt>
                <c:pt idx="38">
                  <c:v>9.38271524631084</c:v>
                </c:pt>
                <c:pt idx="39">
                  <c:v>9.374229855411645</c:v>
                </c:pt>
                <c:pt idx="40">
                  <c:v>9.36600553126424</c:v>
                </c:pt>
                <c:pt idx="41">
                  <c:v>9.358030122062865</c:v>
                </c:pt>
                <c:pt idx="42">
                  <c:v>9.350292170650634</c:v>
                </c:pt>
                <c:pt idx="43">
                  <c:v>9.34274200007294</c:v>
                </c:pt>
                <c:pt idx="44">
                  <c:v>9.335170173337561</c:v>
                </c:pt>
                <c:pt idx="45">
                  <c:v>9.327825273050864</c:v>
                </c:pt>
                <c:pt idx="46">
                  <c:v>9.320696534108607</c:v>
                </c:pt>
                <c:pt idx="47">
                  <c:v>9.313773871130778</c:v>
                </c:pt>
                <c:pt idx="48">
                  <c:v>9.307106732922438</c:v>
                </c:pt>
                <c:pt idx="49">
                  <c:v>9.30100131242994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43939200"/>
        <c:axId val="-2044335648"/>
      </c:lineChart>
      <c:catAx>
        <c:axId val="-204393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</a:t>
                </a:r>
                <a:r>
                  <a:rPr lang="en-GB" baseline="0"/>
                  <a:t> of steps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4335648"/>
        <c:crosses val="autoZero"/>
        <c:auto val="1"/>
        <c:lblAlgn val="ctr"/>
        <c:lblOffset val="100"/>
        <c:noMultiLvlLbl val="0"/>
      </c:catAx>
      <c:valAx>
        <c:axId val="-2044335648"/>
        <c:scaling>
          <c:orientation val="minMax"/>
          <c:min val="4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93920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17</xdr:row>
          <xdr:rowOff>25400</xdr:rowOff>
        </xdr:from>
        <xdr:to>
          <xdr:col>4</xdr:col>
          <xdr:colOff>368300</xdr:colOff>
          <xdr:row>18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95253</xdr:colOff>
      <xdr:row>7</xdr:row>
      <xdr:rowOff>186417</xdr:rowOff>
    </xdr:from>
    <xdr:to>
      <xdr:col>23</xdr:col>
      <xdr:colOff>54428</xdr:colOff>
      <xdr:row>18</xdr:row>
      <xdr:rowOff>163286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108859</xdr:colOff>
      <xdr:row>21</xdr:row>
      <xdr:rowOff>172811</xdr:rowOff>
    </xdr:from>
    <xdr:to>
      <xdr:col>23</xdr:col>
      <xdr:colOff>42517</xdr:colOff>
      <xdr:row>32</xdr:row>
      <xdr:rowOff>174227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108857</xdr:colOff>
      <xdr:row>36</xdr:row>
      <xdr:rowOff>13608</xdr:rowOff>
    </xdr:from>
    <xdr:to>
      <xdr:col>23</xdr:col>
      <xdr:colOff>42517</xdr:colOff>
      <xdr:row>46</xdr:row>
      <xdr:rowOff>154080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108857</xdr:colOff>
      <xdr:row>53</xdr:row>
      <xdr:rowOff>190499</xdr:rowOff>
    </xdr:from>
    <xdr:to>
      <xdr:col>23</xdr:col>
      <xdr:colOff>81643</xdr:colOff>
      <xdr:row>64</xdr:row>
      <xdr:rowOff>163284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122463</xdr:colOff>
      <xdr:row>68</xdr:row>
      <xdr:rowOff>4210</xdr:rowOff>
    </xdr:from>
    <xdr:to>
      <xdr:col>23</xdr:col>
      <xdr:colOff>69646</xdr:colOff>
      <xdr:row>78</xdr:row>
      <xdr:rowOff>139002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81639</xdr:colOff>
      <xdr:row>82</xdr:row>
      <xdr:rowOff>69213</xdr:rowOff>
    </xdr:from>
    <xdr:to>
      <xdr:col>23</xdr:col>
      <xdr:colOff>54430</xdr:colOff>
      <xdr:row>92</xdr:row>
      <xdr:rowOff>141219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877657</xdr:colOff>
      <xdr:row>25</xdr:row>
      <xdr:rowOff>145593</xdr:rowOff>
    </xdr:from>
    <xdr:to>
      <xdr:col>5</xdr:col>
      <xdr:colOff>122465</xdr:colOff>
      <xdr:row>39</xdr:row>
      <xdr:rowOff>108857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136072</xdr:colOff>
      <xdr:row>7</xdr:row>
      <xdr:rowOff>176894</xdr:rowOff>
    </xdr:from>
    <xdr:to>
      <xdr:col>34</xdr:col>
      <xdr:colOff>549330</xdr:colOff>
      <xdr:row>18</xdr:row>
      <xdr:rowOff>137805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149678</xdr:colOff>
      <xdr:row>21</xdr:row>
      <xdr:rowOff>176896</xdr:rowOff>
    </xdr:from>
    <xdr:to>
      <xdr:col>34</xdr:col>
      <xdr:colOff>588454</xdr:colOff>
      <xdr:row>32</xdr:row>
      <xdr:rowOff>174627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149677</xdr:colOff>
      <xdr:row>36</xdr:row>
      <xdr:rowOff>4</xdr:rowOff>
    </xdr:from>
    <xdr:to>
      <xdr:col>34</xdr:col>
      <xdr:colOff>613972</xdr:colOff>
      <xdr:row>47</xdr:row>
      <xdr:rowOff>402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149679</xdr:colOff>
      <xdr:row>54</xdr:row>
      <xdr:rowOff>13607</xdr:rowOff>
    </xdr:from>
    <xdr:to>
      <xdr:col>35</xdr:col>
      <xdr:colOff>13607</xdr:colOff>
      <xdr:row>65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149680</xdr:colOff>
      <xdr:row>68</xdr:row>
      <xdr:rowOff>40353</xdr:rowOff>
    </xdr:from>
    <xdr:to>
      <xdr:col>35</xdr:col>
      <xdr:colOff>54881</xdr:colOff>
      <xdr:row>78</xdr:row>
      <xdr:rowOff>115113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204107</xdr:colOff>
      <xdr:row>82</xdr:row>
      <xdr:rowOff>51145</xdr:rowOff>
    </xdr:from>
    <xdr:to>
      <xdr:col>35</xdr:col>
      <xdr:colOff>95929</xdr:colOff>
      <xdr:row>92</xdr:row>
      <xdr:rowOff>102758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68036</xdr:colOff>
      <xdr:row>100</xdr:row>
      <xdr:rowOff>9524</xdr:rowOff>
    </xdr:from>
    <xdr:to>
      <xdr:col>18</xdr:col>
      <xdr:colOff>489858</xdr:colOff>
      <xdr:row>111</xdr:row>
      <xdr:rowOff>54428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68035</xdr:colOff>
      <xdr:row>113</xdr:row>
      <xdr:rowOff>186417</xdr:rowOff>
    </xdr:from>
    <xdr:to>
      <xdr:col>18</xdr:col>
      <xdr:colOff>489857</xdr:colOff>
      <xdr:row>125</xdr:row>
      <xdr:rowOff>40821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108858</xdr:colOff>
      <xdr:row>128</xdr:row>
      <xdr:rowOff>9523</xdr:rowOff>
    </xdr:from>
    <xdr:to>
      <xdr:col>18</xdr:col>
      <xdr:colOff>530680</xdr:colOff>
      <xdr:row>139</xdr:row>
      <xdr:rowOff>54427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5</xdr:row>
          <xdr:rowOff>101600</xdr:rowOff>
        </xdr:from>
        <xdr:to>
          <xdr:col>9</xdr:col>
          <xdr:colOff>571500</xdr:colOff>
          <xdr:row>7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51</xdr:row>
          <xdr:rowOff>101600</xdr:rowOff>
        </xdr:from>
        <xdr:to>
          <xdr:col>9</xdr:col>
          <xdr:colOff>533400</xdr:colOff>
          <xdr:row>53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97</xdr:row>
          <xdr:rowOff>63500</xdr:rowOff>
        </xdr:from>
        <xdr:to>
          <xdr:col>9</xdr:col>
          <xdr:colOff>546100</xdr:colOff>
          <xdr:row>99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5</xdr:row>
          <xdr:rowOff>88900</xdr:rowOff>
        </xdr:from>
        <xdr:to>
          <xdr:col>6</xdr:col>
          <xdr:colOff>482600</xdr:colOff>
          <xdr:row>7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127000</xdr:colOff>
          <xdr:row>3</xdr:row>
          <xdr:rowOff>12700</xdr:rowOff>
        </xdr:from>
        <xdr:to>
          <xdr:col>15</xdr:col>
          <xdr:colOff>228600</xdr:colOff>
          <xdr:row>5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</xdr:row>
          <xdr:rowOff>25400</xdr:rowOff>
        </xdr:from>
        <xdr:to>
          <xdr:col>2</xdr:col>
          <xdr:colOff>673100</xdr:colOff>
          <xdr:row>17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149678</xdr:colOff>
      <xdr:row>6</xdr:row>
      <xdr:rowOff>29935</xdr:rowOff>
    </xdr:from>
    <xdr:to>
      <xdr:col>20</xdr:col>
      <xdr:colOff>666750</xdr:colOff>
      <xdr:row>33</xdr:row>
      <xdr:rowOff>81642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6" Type="http://schemas.openxmlformats.org/officeDocument/2006/relationships/ctrlProp" Target="../ctrlProps/ctrlProp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19"/>
  <sheetViews>
    <sheetView showGridLines="0" tabSelected="1" zoomScale="70" zoomScaleNormal="70" zoomScalePageLayoutView="70" workbookViewId="0">
      <selection activeCell="G17" sqref="G17"/>
    </sheetView>
  </sheetViews>
  <sheetFormatPr baseColWidth="10" defaultColWidth="10.83203125" defaultRowHeight="16" x14ac:dyDescent="0.2"/>
  <cols>
    <col min="1" max="1" width="10.83203125" style="1"/>
    <col min="2" max="2" width="27.5" style="1" bestFit="1" customWidth="1"/>
    <col min="3" max="5" width="10.83203125" style="1" customWidth="1"/>
    <col min="6" max="6" width="5.83203125" style="1" customWidth="1"/>
    <col min="7" max="7" width="14.83203125" style="1" bestFit="1" customWidth="1"/>
    <col min="8" max="8" width="12.5" style="1" bestFit="1" customWidth="1"/>
    <col min="9" max="9" width="13.83203125" style="1" bestFit="1" customWidth="1"/>
    <col min="10" max="16384" width="10.83203125" style="1"/>
  </cols>
  <sheetData>
    <row r="1" spans="1:9" ht="18" x14ac:dyDescent="0.25">
      <c r="A1" s="9" t="s">
        <v>16</v>
      </c>
    </row>
    <row r="6" spans="1:9" ht="15.75" x14ac:dyDescent="0.25">
      <c r="B6" s="20" t="s">
        <v>15</v>
      </c>
      <c r="C6" s="20" t="s">
        <v>17</v>
      </c>
      <c r="D6" s="2"/>
      <c r="E6" s="2"/>
      <c r="F6" s="151" t="s">
        <v>10</v>
      </c>
      <c r="G6" s="151"/>
      <c r="H6" s="151"/>
      <c r="I6" s="151"/>
    </row>
    <row r="7" spans="1:9" x14ac:dyDescent="0.2">
      <c r="B7" s="2" t="s">
        <v>2</v>
      </c>
      <c r="C7" s="3">
        <v>120</v>
      </c>
      <c r="D7" s="3"/>
      <c r="E7" s="3"/>
      <c r="F7" s="5" t="s">
        <v>28</v>
      </c>
      <c r="G7" s="4" t="s">
        <v>8</v>
      </c>
      <c r="H7" s="4" t="s">
        <v>0</v>
      </c>
      <c r="I7" s="4" t="s">
        <v>9</v>
      </c>
    </row>
    <row r="8" spans="1:9" x14ac:dyDescent="0.2">
      <c r="B8" s="2" t="s">
        <v>3</v>
      </c>
      <c r="C8" s="3">
        <v>100</v>
      </c>
      <c r="D8" s="3"/>
      <c r="E8" s="3"/>
      <c r="F8" s="5">
        <v>1</v>
      </c>
      <c r="G8" s="5">
        <v>0.25</v>
      </c>
      <c r="H8" s="5">
        <v>10</v>
      </c>
      <c r="I8" s="6">
        <f>$C$9</f>
        <v>0.03</v>
      </c>
    </row>
    <row r="9" spans="1:9" x14ac:dyDescent="0.2">
      <c r="B9" s="2" t="s">
        <v>5</v>
      </c>
      <c r="C9" s="6">
        <v>0.03</v>
      </c>
      <c r="D9" s="6" t="s">
        <v>47</v>
      </c>
      <c r="E9" s="6"/>
      <c r="F9" s="5">
        <v>2</v>
      </c>
      <c r="G9" s="5">
        <v>0.5</v>
      </c>
      <c r="H9" s="5">
        <v>10</v>
      </c>
      <c r="I9" s="6">
        <f>$C$9</f>
        <v>0.03</v>
      </c>
    </row>
    <row r="10" spans="1:9" x14ac:dyDescent="0.2">
      <c r="B10" s="2" t="s">
        <v>7</v>
      </c>
      <c r="C10" s="5">
        <v>1.3</v>
      </c>
      <c r="D10" s="5" t="s">
        <v>47</v>
      </c>
      <c r="E10" s="5"/>
      <c r="F10" s="5">
        <v>3</v>
      </c>
      <c r="G10" s="5">
        <v>0.75</v>
      </c>
      <c r="H10" s="5">
        <v>10</v>
      </c>
      <c r="I10" s="6">
        <f>$C$9</f>
        <v>0.03</v>
      </c>
    </row>
    <row r="11" spans="1:9" x14ac:dyDescent="0.2">
      <c r="B11" s="2" t="s">
        <v>4</v>
      </c>
      <c r="C11" s="6">
        <v>0.25</v>
      </c>
      <c r="D11" s="6"/>
      <c r="E11" s="6"/>
      <c r="F11" s="5">
        <v>4</v>
      </c>
      <c r="G11" s="5">
        <v>1</v>
      </c>
      <c r="H11" s="5">
        <v>10</v>
      </c>
      <c r="I11" s="6">
        <f>$C$9</f>
        <v>0.03</v>
      </c>
    </row>
    <row r="12" spans="1:9" x14ac:dyDescent="0.2">
      <c r="B12" s="2" t="s">
        <v>6</v>
      </c>
      <c r="C12" s="5" t="s">
        <v>1</v>
      </c>
      <c r="D12" s="5"/>
      <c r="E12" s="5"/>
      <c r="F12" s="5">
        <v>5</v>
      </c>
      <c r="G12" s="5">
        <v>1.25</v>
      </c>
      <c r="H12" s="5">
        <v>10</v>
      </c>
      <c r="I12" s="6">
        <f>$C$9</f>
        <v>0.03</v>
      </c>
    </row>
    <row r="13" spans="1:9" x14ac:dyDescent="0.2">
      <c r="B13" s="7"/>
      <c r="C13" s="5"/>
      <c r="D13" s="5"/>
      <c r="E13" s="5"/>
      <c r="F13" s="5"/>
      <c r="G13" s="5"/>
      <c r="H13" s="5"/>
    </row>
    <row r="14" spans="1:9" x14ac:dyDescent="0.2">
      <c r="B14" s="152" t="s">
        <v>46</v>
      </c>
      <c r="C14" s="152"/>
      <c r="H14" s="5"/>
    </row>
    <row r="15" spans="1:9" x14ac:dyDescent="0.2">
      <c r="B15" s="22" t="s">
        <v>12</v>
      </c>
      <c r="C15" s="12" t="s">
        <v>13</v>
      </c>
      <c r="D15" s="8"/>
      <c r="E15" s="8"/>
      <c r="H15" s="5"/>
    </row>
    <row r="16" spans="1:9" x14ac:dyDescent="0.2">
      <c r="B16" s="13" t="s">
        <v>11</v>
      </c>
      <c r="C16" s="14">
        <f>BS_AN_AmEuDiv(C7,C8,C9,C10,C11,C12,C15,G8:G12,H8:H12,I8:I12)</f>
        <v>12.773419309500776</v>
      </c>
      <c r="D16" s="8"/>
      <c r="E16" s="8"/>
      <c r="H16" s="5"/>
    </row>
    <row r="17" spans="2:3" x14ac:dyDescent="0.2">
      <c r="B17" s="15"/>
      <c r="C17" s="16"/>
    </row>
    <row r="18" spans="2:3" x14ac:dyDescent="0.2">
      <c r="B18" s="23" t="s">
        <v>12</v>
      </c>
      <c r="C18" s="17" t="s">
        <v>14</v>
      </c>
    </row>
    <row r="19" spans="2:3" x14ac:dyDescent="0.2">
      <c r="B19" s="18" t="s">
        <v>11</v>
      </c>
      <c r="C19" s="19">
        <f>BS_AN_AmEuDiv(C7,C8,C9,C10,C11,C12,C18,G8:G12,H8:H12,I8:I12)</f>
        <v>120</v>
      </c>
    </row>
  </sheetData>
  <sortState ref="F5:H9">
    <sortCondition ref="F5"/>
  </sortState>
  <mergeCells count="2">
    <mergeCell ref="F6:I6"/>
    <mergeCell ref="B14:C14"/>
  </mergeCells>
  <dataValidations count="2">
    <dataValidation type="decimal" operator="greaterThan" allowBlank="1" showInputMessage="1" showErrorMessage="1" sqref="C11">
      <formula1>0</formula1>
    </dataValidation>
    <dataValidation type="decimal" operator="greaterThan" showInputMessage="1" showErrorMessage="1" sqref="C7:C10 G8:I12">
      <formula1>0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Q1Refresh">
                <anchor moveWithCells="1" sizeWithCells="1">
                  <from>
                    <xdr:col>3</xdr:col>
                    <xdr:colOff>139700</xdr:colOff>
                    <xdr:row>17</xdr:row>
                    <xdr:rowOff>25400</xdr:rowOff>
                  </from>
                  <to>
                    <xdr:col>4</xdr:col>
                    <xdr:colOff>368300</xdr:colOff>
                    <xdr:row>18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K141"/>
  <sheetViews>
    <sheetView zoomScale="70" zoomScaleNormal="70" zoomScalePageLayoutView="70" workbookViewId="0">
      <selection activeCell="H11" sqref="H11"/>
    </sheetView>
  </sheetViews>
  <sheetFormatPr baseColWidth="10" defaultColWidth="8.83203125" defaultRowHeight="16" x14ac:dyDescent="0.2"/>
  <cols>
    <col min="1" max="1" width="23.6640625" style="54" customWidth="1"/>
    <col min="2" max="3" width="8.83203125" style="54"/>
    <col min="4" max="4" width="6.6640625" style="54" customWidth="1"/>
    <col min="5" max="5" width="15.83203125" style="55" customWidth="1"/>
    <col min="6" max="6" width="13" style="54" bestFit="1" customWidth="1"/>
    <col min="7" max="7" width="7.1640625" style="54" customWidth="1"/>
    <col min="8" max="8" width="9.1640625" style="54" customWidth="1"/>
    <col min="9" max="9" width="8.83203125" style="54"/>
    <col min="10" max="10" width="10.1640625" style="56" bestFit="1" customWidth="1"/>
    <col min="11" max="13" width="11.33203125" style="55" customWidth="1"/>
    <col min="14" max="14" width="8.83203125" style="54"/>
    <col min="15" max="15" width="8.83203125" style="56"/>
    <col min="16" max="18" width="11" style="54" customWidth="1"/>
    <col min="19" max="19" width="14.6640625" style="54" customWidth="1"/>
    <col min="20" max="20" width="8.83203125" style="54" customWidth="1"/>
    <col min="21" max="23" width="10.1640625" style="54" bestFit="1" customWidth="1"/>
    <col min="24" max="26" width="8.83203125" style="54"/>
    <col min="27" max="27" width="8.83203125" style="55"/>
    <col min="28" max="29" width="16.1640625" style="55" customWidth="1"/>
    <col min="30" max="16384" width="8.83203125" style="54"/>
  </cols>
  <sheetData>
    <row r="1" spans="1:37" ht="18" x14ac:dyDescent="0.25">
      <c r="A1" s="10" t="s">
        <v>42</v>
      </c>
    </row>
    <row r="2" spans="1:37" x14ac:dyDescent="0.2">
      <c r="B2" s="53"/>
    </row>
    <row r="4" spans="1:37" x14ac:dyDescent="0.2">
      <c r="A4" s="53" t="s">
        <v>31</v>
      </c>
      <c r="I4" s="56" t="s">
        <v>32</v>
      </c>
    </row>
    <row r="5" spans="1:37" x14ac:dyDescent="0.2">
      <c r="A5" s="53"/>
    </row>
    <row r="6" spans="1:37" ht="15.75" customHeight="1" x14ac:dyDescent="0.2">
      <c r="A6" s="160" t="s">
        <v>93</v>
      </c>
      <c r="B6" s="160"/>
      <c r="C6" s="160"/>
      <c r="D6" s="160"/>
      <c r="E6" s="160"/>
      <c r="F6" s="160"/>
      <c r="G6" s="57"/>
      <c r="I6" s="58"/>
      <c r="J6" s="153" t="s">
        <v>37</v>
      </c>
      <c r="K6" s="153"/>
      <c r="L6" s="153"/>
      <c r="M6" s="153"/>
      <c r="N6" s="153"/>
      <c r="O6" s="153"/>
      <c r="P6" s="153"/>
      <c r="Q6" s="153"/>
      <c r="R6" s="153"/>
      <c r="S6" s="59"/>
      <c r="T6" s="58"/>
      <c r="U6" s="58"/>
      <c r="V6" s="58"/>
      <c r="W6" s="58"/>
      <c r="X6" s="58"/>
      <c r="Y6" s="58"/>
      <c r="Z6" s="58"/>
      <c r="AA6" s="153" t="s">
        <v>50</v>
      </c>
      <c r="AB6" s="153"/>
      <c r="AC6" s="153"/>
      <c r="AD6" s="58"/>
      <c r="AE6" s="58"/>
      <c r="AF6" s="58"/>
      <c r="AG6" s="58"/>
      <c r="AH6" s="58"/>
      <c r="AI6" s="58"/>
      <c r="AJ6" s="58"/>
      <c r="AK6" s="58"/>
    </row>
    <row r="7" spans="1:37" x14ac:dyDescent="0.2">
      <c r="A7" s="60"/>
      <c r="B7" s="61"/>
      <c r="C7" s="61"/>
      <c r="D7" s="61"/>
      <c r="E7" s="62"/>
      <c r="F7" s="61"/>
      <c r="G7" s="61"/>
      <c r="I7" s="58"/>
      <c r="J7" s="59"/>
      <c r="K7" s="63"/>
      <c r="L7" s="63"/>
      <c r="M7" s="63"/>
      <c r="N7" s="58"/>
      <c r="O7" s="59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63"/>
      <c r="AB7" s="63"/>
      <c r="AC7" s="63"/>
      <c r="AD7" s="58"/>
      <c r="AE7" s="58"/>
      <c r="AF7" s="58"/>
      <c r="AG7" s="58"/>
      <c r="AH7" s="58"/>
      <c r="AI7" s="58"/>
      <c r="AJ7" s="58"/>
      <c r="AK7" s="58"/>
    </row>
    <row r="8" spans="1:37" x14ac:dyDescent="0.2">
      <c r="A8" s="61"/>
      <c r="B8" s="61"/>
      <c r="C8" s="61"/>
      <c r="D8" s="61"/>
      <c r="E8" s="62"/>
      <c r="F8" s="61"/>
      <c r="G8" s="61"/>
      <c r="I8" s="58"/>
      <c r="J8" s="59"/>
      <c r="K8" s="63"/>
      <c r="L8" s="63"/>
      <c r="M8" s="63"/>
      <c r="N8" s="58"/>
      <c r="O8" s="59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63"/>
      <c r="AB8" s="63"/>
      <c r="AC8" s="63"/>
      <c r="AD8" s="58"/>
      <c r="AE8" s="58"/>
      <c r="AF8" s="58"/>
      <c r="AG8" s="58"/>
      <c r="AH8" s="58"/>
      <c r="AI8" s="58"/>
      <c r="AJ8" s="58"/>
      <c r="AK8" s="58"/>
    </row>
    <row r="9" spans="1:37" s="53" customFormat="1" x14ac:dyDescent="0.2">
      <c r="A9" s="11" t="s">
        <v>15</v>
      </c>
      <c r="B9" s="11" t="s">
        <v>17</v>
      </c>
      <c r="C9" s="60"/>
      <c r="D9" s="159" t="s">
        <v>43</v>
      </c>
      <c r="E9" s="159"/>
      <c r="F9" s="159"/>
      <c r="G9" s="11"/>
      <c r="H9" s="55"/>
      <c r="I9" s="63"/>
      <c r="J9" s="64" t="s">
        <v>18</v>
      </c>
      <c r="K9" s="65">
        <v>-0.2</v>
      </c>
      <c r="L9" s="65">
        <v>0</v>
      </c>
      <c r="M9" s="65">
        <v>0.2</v>
      </c>
      <c r="N9" s="66"/>
      <c r="O9" s="64" t="s">
        <v>18</v>
      </c>
      <c r="P9" s="65">
        <v>-0.2</v>
      </c>
      <c r="Q9" s="65">
        <v>0</v>
      </c>
      <c r="R9" s="65">
        <v>0.2</v>
      </c>
      <c r="S9" s="67"/>
      <c r="T9" s="67"/>
      <c r="U9" s="68"/>
      <c r="V9" s="68"/>
      <c r="W9" s="68"/>
      <c r="X9" s="68"/>
      <c r="Y9" s="68"/>
      <c r="Z9" s="68"/>
      <c r="AA9" s="64" t="s">
        <v>18</v>
      </c>
      <c r="AB9" s="65">
        <v>-0.2</v>
      </c>
      <c r="AC9" s="65">
        <v>0.2</v>
      </c>
      <c r="AD9" s="68"/>
      <c r="AE9" s="66"/>
      <c r="AF9" s="66"/>
      <c r="AG9" s="66"/>
      <c r="AH9" s="68"/>
      <c r="AI9" s="68"/>
      <c r="AJ9" s="68"/>
      <c r="AK9" s="69"/>
    </row>
    <row r="10" spans="1:37" ht="17" thickBot="1" x14ac:dyDescent="0.25">
      <c r="A10" s="70" t="s">
        <v>22</v>
      </c>
      <c r="B10" s="62">
        <v>2.5</v>
      </c>
      <c r="C10" s="61"/>
      <c r="D10" s="71" t="s">
        <v>19</v>
      </c>
      <c r="E10" s="71" t="s">
        <v>34</v>
      </c>
      <c r="F10" s="72" t="s">
        <v>30</v>
      </c>
      <c r="G10" s="60"/>
      <c r="H10" s="53"/>
      <c r="I10" s="63"/>
      <c r="J10" s="64" t="s">
        <v>19</v>
      </c>
      <c r="K10" s="155" t="s">
        <v>38</v>
      </c>
      <c r="L10" s="155"/>
      <c r="M10" s="155"/>
      <c r="N10" s="66"/>
      <c r="O10" s="64" t="s">
        <v>19</v>
      </c>
      <c r="P10" s="155" t="s">
        <v>39</v>
      </c>
      <c r="Q10" s="155"/>
      <c r="R10" s="155"/>
      <c r="S10" s="67"/>
      <c r="T10" s="67"/>
      <c r="U10" s="66"/>
      <c r="V10" s="66"/>
      <c r="W10" s="66"/>
      <c r="X10" s="66"/>
      <c r="Y10" s="66"/>
      <c r="Z10" s="66"/>
      <c r="AA10" s="64" t="s">
        <v>19</v>
      </c>
      <c r="AB10" s="155" t="s">
        <v>40</v>
      </c>
      <c r="AC10" s="155"/>
      <c r="AD10" s="66"/>
      <c r="AE10" s="66"/>
      <c r="AF10" s="66"/>
      <c r="AG10" s="66"/>
      <c r="AH10" s="66"/>
      <c r="AI10" s="66"/>
      <c r="AJ10" s="66"/>
      <c r="AK10" s="58"/>
    </row>
    <row r="11" spans="1:37" ht="17" thickTop="1" x14ac:dyDescent="0.2">
      <c r="A11" s="70" t="s">
        <v>23</v>
      </c>
      <c r="B11" s="62">
        <v>0.03</v>
      </c>
      <c r="C11" s="61"/>
      <c r="D11" s="73">
        <v>80</v>
      </c>
      <c r="E11" s="74">
        <f>HestonSVCPF(B$10,B$11,B$12,B$13,B$14,B$15,D11,B$17,B$18,B$19,B$20)</f>
        <v>25.225561746650882</v>
      </c>
      <c r="F11" s="74">
        <f>IVol_BisNewt($B$17,D11,$B$18,$B$15,$B$22,$B$23,$B$20,E11)</f>
        <v>0.1670938985419273</v>
      </c>
      <c r="G11" s="75"/>
      <c r="H11" s="76"/>
      <c r="I11" s="77"/>
      <c r="J11" s="67">
        <v>80</v>
      </c>
      <c r="K11" s="78">
        <f t="shared" ref="K11:M19" si="0">HestonSVCPF($B$10,$B$11,$B$12,K$9,$B$14,$B$15,$J11,$B$17,$B$18,$B$19,$B$20)</f>
        <v>25.378355423537236</v>
      </c>
      <c r="L11" s="78">
        <f t="shared" si="0"/>
        <v>25.246259666550092</v>
      </c>
      <c r="M11" s="78">
        <f t="shared" si="0"/>
        <v>25.103608099544289</v>
      </c>
      <c r="N11" s="79"/>
      <c r="O11" s="67">
        <v>80</v>
      </c>
      <c r="P11" s="78">
        <f>IVol_BisNewt($B$17,$O11,$B$18,$B$15,$B$22,$B$23,$B$20,K11)</f>
        <v>0.17213071265459062</v>
      </c>
      <c r="Q11" s="78">
        <f t="shared" ref="Q11:R19" si="1">IVol_BisNewt($B$17,$O11,$B$18,$B$15,$B$22,$B$23,$B$20,L11)</f>
        <v>0.16778626378774641</v>
      </c>
      <c r="R11" s="78">
        <f t="shared" si="1"/>
        <v>0.16294972061395646</v>
      </c>
      <c r="S11" s="78"/>
      <c r="T11" s="78"/>
      <c r="U11" s="66"/>
      <c r="V11" s="66"/>
      <c r="W11" s="66"/>
      <c r="X11" s="66"/>
      <c r="Y11" s="66"/>
      <c r="Z11" s="66"/>
      <c r="AA11" s="67">
        <v>80</v>
      </c>
      <c r="AB11" s="78">
        <f t="shared" ref="AB11:AB19" si="2">P11-Q11</f>
        <v>4.3444488668442083E-3</v>
      </c>
      <c r="AC11" s="78">
        <f t="shared" ref="AC11:AC19" si="3">R11-Q11</f>
        <v>-4.8365431737899534E-3</v>
      </c>
      <c r="AD11" s="66"/>
      <c r="AE11" s="78"/>
      <c r="AF11" s="78"/>
      <c r="AG11" s="66"/>
      <c r="AH11" s="66"/>
      <c r="AI11" s="66"/>
      <c r="AJ11" s="66"/>
      <c r="AK11" s="58"/>
    </row>
    <row r="12" spans="1:37" x14ac:dyDescent="0.2">
      <c r="A12" s="70" t="s">
        <v>21</v>
      </c>
      <c r="B12" s="62">
        <v>0.02</v>
      </c>
      <c r="C12" s="61"/>
      <c r="D12" s="73">
        <v>85</v>
      </c>
      <c r="E12" s="74">
        <f>HestonSVCPF(B$10,B$11,B$12,B$13,B$14,B$15,D12,B$17,B$18,B$19,B$20)</f>
        <v>21.414362853852154</v>
      </c>
      <c r="F12" s="74">
        <f t="shared" ref="F12:F19" si="4">IVol_BisNewt($B$17,D12,$B$18,$B$15,$B$22,$B$23,$B$20,E12)</f>
        <v>0.16630711985349658</v>
      </c>
      <c r="G12" s="75"/>
      <c r="H12" s="76"/>
      <c r="I12" s="77"/>
      <c r="J12" s="67">
        <v>85</v>
      </c>
      <c r="K12" s="78">
        <f t="shared" si="0"/>
        <v>21.562278534880381</v>
      </c>
      <c r="L12" s="78">
        <f t="shared" si="0"/>
        <v>21.434531390651479</v>
      </c>
      <c r="M12" s="78">
        <f t="shared" si="0"/>
        <v>21.294729070120351</v>
      </c>
      <c r="N12" s="79"/>
      <c r="O12" s="67">
        <v>85</v>
      </c>
      <c r="P12" s="78">
        <f t="shared" ref="P12:P19" si="5">IVol_BisNewt($B$17,$O12,$B$18,$B$15,$B$22,$B$23,$B$20,K12)</f>
        <v>0.1701280032658577</v>
      </c>
      <c r="Q12" s="78">
        <f t="shared" si="1"/>
        <v>0.16683140056133272</v>
      </c>
      <c r="R12" s="78">
        <f t="shared" si="1"/>
        <v>0.16317395254015921</v>
      </c>
      <c r="S12" s="78"/>
      <c r="T12" s="78"/>
      <c r="U12" s="66"/>
      <c r="V12" s="66"/>
      <c r="W12" s="66"/>
      <c r="X12" s="66"/>
      <c r="Y12" s="66"/>
      <c r="Z12" s="66"/>
      <c r="AA12" s="67">
        <v>85</v>
      </c>
      <c r="AB12" s="78">
        <f t="shared" si="2"/>
        <v>3.2966027045249757E-3</v>
      </c>
      <c r="AC12" s="78">
        <f t="shared" si="3"/>
        <v>-3.657448021173515E-3</v>
      </c>
      <c r="AD12" s="66"/>
      <c r="AE12" s="78"/>
      <c r="AF12" s="78"/>
      <c r="AG12" s="66"/>
      <c r="AH12" s="66"/>
      <c r="AI12" s="66"/>
      <c r="AJ12" s="66"/>
      <c r="AK12" s="58"/>
    </row>
    <row r="13" spans="1:37" x14ac:dyDescent="0.2">
      <c r="A13" s="70" t="s">
        <v>18</v>
      </c>
      <c r="B13" s="62">
        <v>0.03</v>
      </c>
      <c r="C13" s="61"/>
      <c r="D13" s="73">
        <v>90</v>
      </c>
      <c r="E13" s="74">
        <f t="shared" ref="E13:E19" si="6">HestonSVCPF(B$10,B$11,B$12,B$13,B$14,B$15,D13,B$17,B$18,B$19,B$20)</f>
        <v>17.948116968170229</v>
      </c>
      <c r="F13" s="74">
        <f t="shared" si="4"/>
        <v>0.16577675949215892</v>
      </c>
      <c r="G13" s="75"/>
      <c r="H13" s="76"/>
      <c r="I13" s="77"/>
      <c r="J13" s="67">
        <v>90</v>
      </c>
      <c r="K13" s="78">
        <f t="shared" si="0"/>
        <v>18.069705176928217</v>
      </c>
      <c r="L13" s="78">
        <f t="shared" si="0"/>
        <v>17.964812039964741</v>
      </c>
      <c r="M13" s="78">
        <f t="shared" si="0"/>
        <v>17.848452614792308</v>
      </c>
      <c r="N13" s="79"/>
      <c r="O13" s="67">
        <v>90</v>
      </c>
      <c r="P13" s="78">
        <f t="shared" si="5"/>
        <v>0.16838850711107251</v>
      </c>
      <c r="Q13" s="78">
        <f t="shared" si="1"/>
        <v>0.16613617430210115</v>
      </c>
      <c r="R13" s="78">
        <f t="shared" si="1"/>
        <v>0.16362527740597727</v>
      </c>
      <c r="S13" s="78"/>
      <c r="T13" s="78"/>
      <c r="U13" s="66"/>
      <c r="V13" s="66"/>
      <c r="W13" s="66"/>
      <c r="X13" s="66"/>
      <c r="Y13" s="66"/>
      <c r="Z13" s="66"/>
      <c r="AA13" s="67">
        <v>90</v>
      </c>
      <c r="AB13" s="78">
        <f t="shared" si="2"/>
        <v>2.2523328089713579E-3</v>
      </c>
      <c r="AC13" s="78">
        <f t="shared" si="3"/>
        <v>-2.510896896123882E-3</v>
      </c>
      <c r="AD13" s="66"/>
      <c r="AE13" s="78"/>
      <c r="AF13" s="78"/>
      <c r="AG13" s="66"/>
      <c r="AH13" s="66"/>
      <c r="AI13" s="66"/>
      <c r="AJ13" s="66"/>
      <c r="AK13" s="58"/>
    </row>
    <row r="14" spans="1:37" x14ac:dyDescent="0.2">
      <c r="A14" s="70" t="s">
        <v>20</v>
      </c>
      <c r="B14" s="62">
        <v>0.25</v>
      </c>
      <c r="C14" s="61"/>
      <c r="D14" s="73">
        <v>95</v>
      </c>
      <c r="E14" s="74">
        <f t="shared" si="6"/>
        <v>14.860502201273199</v>
      </c>
      <c r="F14" s="74">
        <f t="shared" si="4"/>
        <v>0.16547492257714275</v>
      </c>
      <c r="G14" s="75"/>
      <c r="H14" s="76"/>
      <c r="I14" s="77"/>
      <c r="J14" s="67">
        <v>95</v>
      </c>
      <c r="K14" s="78">
        <f>HestonSVCPF($B$10,$B$11,$B$12,K$9,$B$14,$B$15,$J14,$B$17,$B$18,$B$19,$B$20)</f>
        <v>14.935853780668955</v>
      </c>
      <c r="L14" s="78">
        <f t="shared" si="0"/>
        <v>14.871044972483384</v>
      </c>
      <c r="M14" s="78">
        <f t="shared" si="0"/>
        <v>14.796502119392931</v>
      </c>
      <c r="N14" s="79"/>
      <c r="O14" s="67">
        <v>95</v>
      </c>
      <c r="P14" s="78">
        <f t="shared" si="5"/>
        <v>0.16689470048308375</v>
      </c>
      <c r="Q14" s="78">
        <f t="shared" si="1"/>
        <v>0.1656737630093098</v>
      </c>
      <c r="R14" s="78">
        <f t="shared" si="1"/>
        <v>0.16426757491707805</v>
      </c>
      <c r="S14" s="78"/>
      <c r="T14" s="78"/>
      <c r="U14" s="66"/>
      <c r="V14" s="66"/>
      <c r="W14" s="66"/>
      <c r="X14" s="66"/>
      <c r="Y14" s="66"/>
      <c r="Z14" s="66"/>
      <c r="AA14" s="67">
        <v>95</v>
      </c>
      <c r="AB14" s="78">
        <f t="shared" si="2"/>
        <v>1.220937473773942E-3</v>
      </c>
      <c r="AC14" s="78">
        <f t="shared" si="3"/>
        <v>-1.4061880922317527E-3</v>
      </c>
      <c r="AD14" s="66"/>
      <c r="AE14" s="78"/>
      <c r="AF14" s="78"/>
      <c r="AG14" s="66"/>
      <c r="AH14" s="66"/>
      <c r="AI14" s="66"/>
      <c r="AJ14" s="66"/>
      <c r="AK14" s="58"/>
    </row>
    <row r="15" spans="1:37" x14ac:dyDescent="0.2">
      <c r="A15" s="70" t="s">
        <v>24</v>
      </c>
      <c r="B15" s="62">
        <v>2.2999999999999998</v>
      </c>
      <c r="C15" s="61"/>
      <c r="D15" s="73">
        <v>100</v>
      </c>
      <c r="E15" s="74">
        <f t="shared" si="6"/>
        <v>12.165723495521648</v>
      </c>
      <c r="F15" s="74">
        <f t="shared" si="4"/>
        <v>0.16537442948102951</v>
      </c>
      <c r="G15" s="75"/>
      <c r="H15" s="76"/>
      <c r="I15" s="77"/>
      <c r="J15" s="67">
        <v>100</v>
      </c>
      <c r="K15" s="78">
        <f t="shared" si="0"/>
        <v>12.180368999771195</v>
      </c>
      <c r="L15" s="78">
        <f t="shared" si="0"/>
        <v>12.168231507750061</v>
      </c>
      <c r="M15" s="78">
        <f t="shared" si="0"/>
        <v>12.148011165355893</v>
      </c>
      <c r="N15" s="79"/>
      <c r="O15" s="67">
        <v>100</v>
      </c>
      <c r="P15" s="78">
        <f t="shared" si="5"/>
        <v>0.16562834442138674</v>
      </c>
      <c r="Q15" s="78">
        <f t="shared" si="1"/>
        <v>0.16541805993556977</v>
      </c>
      <c r="R15" s="78">
        <f t="shared" si="1"/>
        <v>0.165067228165865</v>
      </c>
      <c r="S15" s="78"/>
      <c r="T15" s="78"/>
      <c r="U15" s="66"/>
      <c r="V15" s="66"/>
      <c r="W15" s="66"/>
      <c r="X15" s="66"/>
      <c r="Y15" s="66"/>
      <c r="Z15" s="66"/>
      <c r="AA15" s="67">
        <v>100</v>
      </c>
      <c r="AB15" s="78">
        <f t="shared" si="2"/>
        <v>2.1028448581697501E-4</v>
      </c>
      <c r="AC15" s="78">
        <f t="shared" si="3"/>
        <v>-3.5083176970476804E-4</v>
      </c>
      <c r="AD15" s="66"/>
      <c r="AE15" s="78"/>
      <c r="AF15" s="78"/>
      <c r="AG15" s="66"/>
      <c r="AH15" s="66"/>
      <c r="AI15" s="66"/>
      <c r="AJ15" s="66"/>
      <c r="AK15" s="58"/>
    </row>
    <row r="16" spans="1:37" x14ac:dyDescent="0.2">
      <c r="A16" s="70" t="s">
        <v>25</v>
      </c>
      <c r="B16" s="62">
        <v>80</v>
      </c>
      <c r="C16" s="61"/>
      <c r="D16" s="73">
        <v>105</v>
      </c>
      <c r="E16" s="74">
        <f t="shared" si="6"/>
        <v>9.858790122154744</v>
      </c>
      <c r="F16" s="74">
        <f t="shared" si="4"/>
        <v>0.165449531083107</v>
      </c>
      <c r="G16" s="75"/>
      <c r="H16" s="76"/>
      <c r="I16" s="77"/>
      <c r="J16" s="67">
        <v>105</v>
      </c>
      <c r="K16" s="78">
        <f t="shared" si="0"/>
        <v>9.8060184841400257</v>
      </c>
      <c r="L16" s="78">
        <f t="shared" si="0"/>
        <v>9.8524562426741475</v>
      </c>
      <c r="M16" s="78">
        <f t="shared" si="0"/>
        <v>9.8915257951267446</v>
      </c>
      <c r="N16" s="79"/>
      <c r="O16" s="67">
        <v>105</v>
      </c>
      <c r="P16" s="78">
        <f t="shared" si="5"/>
        <v>0.16457155759215353</v>
      </c>
      <c r="Q16" s="78">
        <f t="shared" si="1"/>
        <v>0.16534421002686026</v>
      </c>
      <c r="R16" s="78">
        <f t="shared" si="1"/>
        <v>0.16599419651150704</v>
      </c>
      <c r="S16" s="78"/>
      <c r="T16" s="78"/>
      <c r="U16" s="66"/>
      <c r="V16" s="66"/>
      <c r="W16" s="66"/>
      <c r="X16" s="66"/>
      <c r="Y16" s="66"/>
      <c r="Z16" s="66"/>
      <c r="AA16" s="67">
        <v>105</v>
      </c>
      <c r="AB16" s="78">
        <f t="shared" si="2"/>
        <v>-7.7265243470672762E-4</v>
      </c>
      <c r="AC16" s="78">
        <f t="shared" si="3"/>
        <v>6.4998648464678621E-4</v>
      </c>
      <c r="AD16" s="66"/>
      <c r="AE16" s="78"/>
      <c r="AF16" s="78"/>
      <c r="AG16" s="66"/>
      <c r="AH16" s="66"/>
      <c r="AI16" s="66"/>
      <c r="AJ16" s="66"/>
      <c r="AK16" s="58"/>
    </row>
    <row r="17" spans="1:37" x14ac:dyDescent="0.2">
      <c r="A17" s="70" t="s">
        <v>26</v>
      </c>
      <c r="B17" s="62">
        <v>100</v>
      </c>
      <c r="C17" s="61"/>
      <c r="D17" s="73">
        <v>110</v>
      </c>
      <c r="E17" s="74">
        <f t="shared" si="6"/>
        <v>7.9185605822893361</v>
      </c>
      <c r="F17" s="74">
        <f t="shared" si="4"/>
        <v>0.16567590876936916</v>
      </c>
      <c r="G17" s="75"/>
      <c r="H17" s="76"/>
      <c r="I17" s="77"/>
      <c r="J17" s="67">
        <v>110</v>
      </c>
      <c r="K17" s="78">
        <f t="shared" si="0"/>
        <v>7.7997647807575028</v>
      </c>
      <c r="L17" s="78">
        <f t="shared" si="0"/>
        <v>7.9036499596628431</v>
      </c>
      <c r="M17" s="78">
        <f t="shared" si="0"/>
        <v>7.9997650329271615</v>
      </c>
      <c r="N17" s="79"/>
      <c r="O17" s="67">
        <v>110</v>
      </c>
      <c r="P17" s="78">
        <f t="shared" si="5"/>
        <v>0.16370735272824763</v>
      </c>
      <c r="Q17" s="78">
        <f t="shared" si="1"/>
        <v>0.16542878873586656</v>
      </c>
      <c r="R17" s="78">
        <f t="shared" si="1"/>
        <v>0.1670213003265858</v>
      </c>
      <c r="S17" s="78"/>
      <c r="T17" s="78"/>
      <c r="U17" s="66"/>
      <c r="V17" s="66"/>
      <c r="W17" s="66"/>
      <c r="X17" s="66"/>
      <c r="Y17" s="66"/>
      <c r="Z17" s="66"/>
      <c r="AA17" s="67">
        <v>110</v>
      </c>
      <c r="AB17" s="78">
        <f t="shared" si="2"/>
        <v>-1.7214360076189261E-3</v>
      </c>
      <c r="AC17" s="78">
        <f t="shared" si="3"/>
        <v>1.5925115907192422E-3</v>
      </c>
      <c r="AD17" s="66"/>
      <c r="AE17" s="78"/>
      <c r="AF17" s="78"/>
      <c r="AG17" s="66"/>
      <c r="AH17" s="66"/>
      <c r="AI17" s="66"/>
      <c r="AJ17" s="66"/>
      <c r="AK17" s="58"/>
    </row>
    <row r="18" spans="1:37" x14ac:dyDescent="0.2">
      <c r="A18" s="70" t="s">
        <v>27</v>
      </c>
      <c r="B18" s="62">
        <v>0.02</v>
      </c>
      <c r="C18" s="61"/>
      <c r="D18" s="73">
        <v>115</v>
      </c>
      <c r="E18" s="74">
        <f t="shared" si="6"/>
        <v>6.3123388561782932</v>
      </c>
      <c r="F18" s="74">
        <f t="shared" si="4"/>
        <v>0.16603138968586922</v>
      </c>
      <c r="G18" s="75"/>
      <c r="H18" s="76"/>
      <c r="I18" s="77"/>
      <c r="J18" s="67">
        <v>115</v>
      </c>
      <c r="K18" s="78">
        <f t="shared" si="0"/>
        <v>6.1356895695193572</v>
      </c>
      <c r="L18" s="78">
        <f t="shared" si="0"/>
        <v>6.2899713483675193</v>
      </c>
      <c r="M18" s="78">
        <f t="shared" si="0"/>
        <v>6.4353728649159674</v>
      </c>
      <c r="N18" s="79"/>
      <c r="O18" s="67">
        <v>115</v>
      </c>
      <c r="P18" s="78">
        <f t="shared" si="5"/>
        <v>0.16301838493585585</v>
      </c>
      <c r="Q18" s="78">
        <f t="shared" si="1"/>
        <v>0.16565015964865687</v>
      </c>
      <c r="R18" s="78">
        <f t="shared" si="1"/>
        <v>0.16812600913047787</v>
      </c>
      <c r="S18" s="78"/>
      <c r="T18" s="78"/>
      <c r="U18" s="66"/>
      <c r="V18" s="66"/>
      <c r="W18" s="66"/>
      <c r="X18" s="66"/>
      <c r="Y18" s="66"/>
      <c r="Z18" s="66"/>
      <c r="AA18" s="67">
        <v>115</v>
      </c>
      <c r="AB18" s="78">
        <f t="shared" si="2"/>
        <v>-2.631774712801016E-3</v>
      </c>
      <c r="AC18" s="78">
        <f t="shared" si="3"/>
        <v>2.475849481821002E-3</v>
      </c>
      <c r="AD18" s="66"/>
      <c r="AE18" s="78"/>
      <c r="AF18" s="78"/>
      <c r="AG18" s="66"/>
      <c r="AH18" s="66"/>
      <c r="AI18" s="66"/>
      <c r="AJ18" s="66"/>
      <c r="AK18" s="58"/>
    </row>
    <row r="19" spans="1:37" x14ac:dyDescent="0.2">
      <c r="A19" s="70" t="s">
        <v>33</v>
      </c>
      <c r="B19" s="62">
        <v>0.02</v>
      </c>
      <c r="C19" s="61"/>
      <c r="D19" s="73">
        <v>120</v>
      </c>
      <c r="E19" s="74">
        <f t="shared" si="6"/>
        <v>5.0007969685356457</v>
      </c>
      <c r="F19" s="74">
        <f t="shared" si="4"/>
        <v>0.16649558911204337</v>
      </c>
      <c r="G19" s="75"/>
      <c r="H19" s="76"/>
      <c r="I19" s="77"/>
      <c r="J19" s="67">
        <v>120</v>
      </c>
      <c r="K19" s="78">
        <f t="shared" si="0"/>
        <v>4.7789476691072839</v>
      </c>
      <c r="L19" s="78">
        <f t="shared" si="0"/>
        <v>4.9726250623117867</v>
      </c>
      <c r="M19" s="78">
        <f t="shared" si="0"/>
        <v>5.1562886157299168</v>
      </c>
      <c r="N19" s="79"/>
      <c r="O19" s="67">
        <v>120</v>
      </c>
      <c r="P19" s="78">
        <f t="shared" si="5"/>
        <v>0.16248766694784161</v>
      </c>
      <c r="Q19" s="78">
        <f t="shared" si="1"/>
        <v>0.16598811685800552</v>
      </c>
      <c r="R19" s="78">
        <f t="shared" si="1"/>
        <v>0.16928865345597266</v>
      </c>
      <c r="S19" s="78"/>
      <c r="T19" s="78"/>
      <c r="U19" s="66"/>
      <c r="V19" s="66"/>
      <c r="W19" s="66"/>
      <c r="X19" s="66"/>
      <c r="Y19" s="66"/>
      <c r="Z19" s="66"/>
      <c r="AA19" s="67">
        <v>120</v>
      </c>
      <c r="AB19" s="78">
        <f t="shared" si="2"/>
        <v>-3.5004499101639053E-3</v>
      </c>
      <c r="AC19" s="78">
        <f t="shared" si="3"/>
        <v>3.3005365979671408E-3</v>
      </c>
      <c r="AD19" s="66"/>
      <c r="AE19" s="78"/>
      <c r="AF19" s="78"/>
      <c r="AG19" s="66"/>
      <c r="AH19" s="66"/>
      <c r="AI19" s="66"/>
      <c r="AJ19" s="66"/>
      <c r="AK19" s="58"/>
    </row>
    <row r="20" spans="1:37" x14ac:dyDescent="0.2">
      <c r="A20" s="70" t="s">
        <v>29</v>
      </c>
      <c r="B20" s="62" t="s">
        <v>1</v>
      </c>
      <c r="C20" s="61"/>
      <c r="D20" s="80"/>
      <c r="E20" s="73"/>
      <c r="F20" s="80"/>
      <c r="G20" s="61"/>
      <c r="I20" s="58"/>
      <c r="J20" s="59"/>
      <c r="K20" s="63"/>
      <c r="L20" s="63"/>
      <c r="M20" s="63"/>
      <c r="N20" s="58"/>
      <c r="O20" s="59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63"/>
      <c r="AB20" s="63"/>
      <c r="AC20" s="63"/>
      <c r="AD20" s="58"/>
      <c r="AE20" s="58"/>
      <c r="AF20" s="58"/>
      <c r="AG20" s="58"/>
      <c r="AH20" s="58"/>
      <c r="AI20" s="58"/>
      <c r="AJ20" s="58"/>
      <c r="AK20" s="58"/>
    </row>
    <row r="21" spans="1:37" x14ac:dyDescent="0.2">
      <c r="A21" s="70"/>
      <c r="B21" s="62"/>
      <c r="C21" s="61"/>
      <c r="D21" s="61"/>
      <c r="E21" s="61"/>
      <c r="F21" s="61"/>
      <c r="G21" s="61"/>
      <c r="H21" s="53"/>
      <c r="I21" s="69"/>
      <c r="J21" s="69"/>
      <c r="K21" s="69"/>
      <c r="L21" s="69"/>
      <c r="M21" s="69"/>
      <c r="N21" s="58"/>
      <c r="O21" s="69"/>
      <c r="P21" s="58"/>
      <c r="Q21" s="58"/>
      <c r="R21" s="58"/>
      <c r="S21" s="58"/>
      <c r="T21" s="69"/>
      <c r="U21" s="58"/>
      <c r="V21" s="58"/>
      <c r="W21" s="58"/>
      <c r="X21" s="58"/>
      <c r="Y21" s="58"/>
      <c r="Z21" s="58"/>
      <c r="AA21" s="63"/>
      <c r="AB21" s="63"/>
      <c r="AC21" s="63"/>
      <c r="AD21" s="58"/>
      <c r="AE21" s="58"/>
      <c r="AF21" s="58"/>
      <c r="AG21" s="58"/>
      <c r="AH21" s="58"/>
      <c r="AI21" s="58"/>
      <c r="AJ21" s="58"/>
      <c r="AK21" s="58"/>
    </row>
    <row r="22" spans="1:37" s="53" customFormat="1" x14ac:dyDescent="0.2">
      <c r="A22" s="70" t="s">
        <v>35</v>
      </c>
      <c r="B22" s="62">
        <v>1.0000000000000001E-5</v>
      </c>
      <c r="C22" s="60"/>
      <c r="D22" s="61"/>
      <c r="E22" s="61"/>
      <c r="F22" s="61"/>
      <c r="G22" s="81"/>
      <c r="H22" s="54"/>
      <c r="I22" s="58"/>
      <c r="J22" s="59"/>
      <c r="K22" s="63"/>
      <c r="L22" s="63"/>
      <c r="M22" s="63"/>
      <c r="N22" s="58"/>
      <c r="O22" s="59"/>
      <c r="P22" s="58"/>
      <c r="Q22" s="58"/>
      <c r="R22" s="58"/>
      <c r="S22" s="58"/>
      <c r="T22" s="58"/>
      <c r="U22" s="69"/>
      <c r="V22" s="69"/>
      <c r="W22" s="69"/>
      <c r="X22" s="69"/>
      <c r="Y22" s="69"/>
      <c r="Z22" s="69"/>
      <c r="AA22" s="59"/>
      <c r="AB22" s="59"/>
      <c r="AC22" s="59"/>
      <c r="AD22" s="69"/>
      <c r="AE22" s="58"/>
      <c r="AF22" s="58"/>
      <c r="AG22" s="58"/>
      <c r="AH22" s="58"/>
      <c r="AI22" s="69"/>
      <c r="AJ22" s="69"/>
      <c r="AK22" s="69"/>
    </row>
    <row r="23" spans="1:37" x14ac:dyDescent="0.2">
      <c r="A23" s="70" t="s">
        <v>36</v>
      </c>
      <c r="B23" s="62">
        <v>3</v>
      </c>
      <c r="C23" s="61"/>
      <c r="D23" s="61"/>
      <c r="E23" s="61"/>
      <c r="F23" s="61"/>
      <c r="G23" s="61"/>
      <c r="I23" s="58"/>
      <c r="J23" s="64" t="s">
        <v>20</v>
      </c>
      <c r="K23" s="65">
        <v>0.01</v>
      </c>
      <c r="L23" s="65">
        <v>0.1</v>
      </c>
      <c r="M23" s="65">
        <v>0.3</v>
      </c>
      <c r="N23" s="68"/>
      <c r="O23" s="64" t="s">
        <v>20</v>
      </c>
      <c r="P23" s="65">
        <v>0.01</v>
      </c>
      <c r="Q23" s="65">
        <v>0.1</v>
      </c>
      <c r="R23" s="65">
        <v>0.3</v>
      </c>
      <c r="S23" s="67"/>
      <c r="T23" s="66"/>
      <c r="U23" s="66"/>
      <c r="V23" s="66"/>
      <c r="W23" s="66"/>
      <c r="X23" s="66"/>
      <c r="Y23" s="66"/>
      <c r="Z23" s="66"/>
      <c r="AA23" s="64" t="s">
        <v>20</v>
      </c>
      <c r="AB23" s="65">
        <v>0.1</v>
      </c>
      <c r="AC23" s="65">
        <v>0.3</v>
      </c>
      <c r="AD23" s="66"/>
      <c r="AE23" s="68"/>
      <c r="AF23" s="68"/>
      <c r="AG23" s="68"/>
      <c r="AH23" s="68"/>
      <c r="AI23" s="66"/>
      <c r="AJ23" s="66"/>
      <c r="AK23" s="58"/>
    </row>
    <row r="24" spans="1:37" ht="17" thickBot="1" x14ac:dyDescent="0.25">
      <c r="A24" s="61"/>
      <c r="B24" s="61"/>
      <c r="C24" s="61"/>
      <c r="D24" s="61"/>
      <c r="E24" s="62"/>
      <c r="F24" s="61"/>
      <c r="G24" s="61"/>
      <c r="I24" s="58"/>
      <c r="J24" s="64" t="s">
        <v>19</v>
      </c>
      <c r="K24" s="155" t="s">
        <v>38</v>
      </c>
      <c r="L24" s="155"/>
      <c r="M24" s="155"/>
      <c r="N24" s="66"/>
      <c r="O24" s="64" t="s">
        <v>19</v>
      </c>
      <c r="P24" s="155" t="s">
        <v>39</v>
      </c>
      <c r="Q24" s="155"/>
      <c r="R24" s="155"/>
      <c r="S24" s="67"/>
      <c r="T24" s="66"/>
      <c r="U24" s="66"/>
      <c r="V24" s="66"/>
      <c r="W24" s="66"/>
      <c r="X24" s="66"/>
      <c r="Y24" s="66"/>
      <c r="Z24" s="66"/>
      <c r="AA24" s="64" t="s">
        <v>19</v>
      </c>
      <c r="AB24" s="155" t="s">
        <v>44</v>
      </c>
      <c r="AC24" s="155"/>
      <c r="AD24" s="66"/>
      <c r="AE24" s="66"/>
      <c r="AF24" s="66"/>
      <c r="AG24" s="66"/>
      <c r="AH24" s="66"/>
      <c r="AI24" s="66"/>
      <c r="AJ24" s="66"/>
      <c r="AK24" s="58"/>
    </row>
    <row r="25" spans="1:37" ht="17" thickTop="1" x14ac:dyDescent="0.2">
      <c r="A25" s="82"/>
      <c r="B25" s="61"/>
      <c r="C25" s="61"/>
      <c r="D25" s="61"/>
      <c r="E25" s="62"/>
      <c r="F25" s="61"/>
      <c r="G25" s="61"/>
      <c r="I25" s="58"/>
      <c r="J25" s="67">
        <v>80</v>
      </c>
      <c r="K25" s="78">
        <f t="shared" ref="K25:M33" si="7">HestonSVCPF($B$10,$B$11,$B$12,$B$13,K$23,$B$15,$J25,$B$17,$B$18,$B$19,$B$20)</f>
        <v>25.238794670814428</v>
      </c>
      <c r="L25" s="78">
        <f t="shared" si="7"/>
        <v>25.231974156457795</v>
      </c>
      <c r="M25" s="78">
        <f t="shared" si="7"/>
        <v>25.224672391668157</v>
      </c>
      <c r="N25" s="66"/>
      <c r="O25" s="67">
        <v>80</v>
      </c>
      <c r="P25" s="78">
        <f>IVol_BisNewt($B$17,$O25,$B$18,$B$15,$B$22,$B$23,$B$20,K25)</f>
        <v>0.16753664036750793</v>
      </c>
      <c r="Q25" s="78">
        <f t="shared" ref="Q25:R33" si="8">IVol_BisNewt($B$17,$O25,$B$18,$B$15,$B$22,$B$23,$B$20,L25)</f>
        <v>0.16730847454786302</v>
      </c>
      <c r="R25" s="78">
        <f t="shared" si="8"/>
        <v>0.16706457315444945</v>
      </c>
      <c r="S25" s="78"/>
      <c r="T25" s="66"/>
      <c r="U25" s="66"/>
      <c r="V25" s="66"/>
      <c r="W25" s="66"/>
      <c r="X25" s="66"/>
      <c r="Y25" s="66"/>
      <c r="Z25" s="66"/>
      <c r="AA25" s="67">
        <v>80</v>
      </c>
      <c r="AB25" s="78">
        <f>Q25-P25</f>
        <v>-2.281658196449099E-4</v>
      </c>
      <c r="AC25" s="78">
        <f>R25-P25</f>
        <v>-4.7206721305848021E-4</v>
      </c>
      <c r="AD25" s="66"/>
      <c r="AE25" s="78"/>
      <c r="AF25" s="78"/>
      <c r="AG25" s="66"/>
      <c r="AH25" s="66"/>
      <c r="AI25" s="66"/>
      <c r="AJ25" s="66"/>
      <c r="AK25" s="58"/>
    </row>
    <row r="26" spans="1:37" x14ac:dyDescent="0.2">
      <c r="A26" s="61"/>
      <c r="B26" s="61"/>
      <c r="C26" s="61"/>
      <c r="D26" s="61"/>
      <c r="E26" s="62"/>
      <c r="F26" s="61"/>
      <c r="G26" s="61"/>
      <c r="I26" s="58"/>
      <c r="J26" s="67">
        <v>85</v>
      </c>
      <c r="K26" s="78">
        <f t="shared" si="7"/>
        <v>21.46213773848946</v>
      </c>
      <c r="L26" s="78">
        <f t="shared" si="7"/>
        <v>21.449656111488281</v>
      </c>
      <c r="M26" s="78">
        <f t="shared" si="7"/>
        <v>21.39965562994302</v>
      </c>
      <c r="N26" s="66"/>
      <c r="O26" s="67">
        <v>85</v>
      </c>
      <c r="P26" s="78">
        <f t="shared" ref="P26:P33" si="9">IVol_BisNewt($B$17,$O26,$B$18,$B$15,$B$22,$B$23,$B$20,K26)</f>
        <v>0.16754736916780472</v>
      </c>
      <c r="Q26" s="78">
        <f t="shared" si="8"/>
        <v>0.16722407465219497</v>
      </c>
      <c r="R26" s="78">
        <f t="shared" si="8"/>
        <v>0.16592445930957797</v>
      </c>
      <c r="S26" s="78"/>
      <c r="T26" s="66"/>
      <c r="U26" s="66"/>
      <c r="V26" s="66"/>
      <c r="W26" s="66"/>
      <c r="X26" s="66"/>
      <c r="Y26" s="66"/>
      <c r="Z26" s="66"/>
      <c r="AA26" s="67">
        <v>85</v>
      </c>
      <c r="AB26" s="78">
        <f t="shared" ref="AB26:AB33" si="10">Q26-P26</f>
        <v>-3.2329451560975109E-4</v>
      </c>
      <c r="AC26" s="78">
        <f t="shared" ref="AC26:AC33" si="11">R26-P26</f>
        <v>-1.6229098582267454E-3</v>
      </c>
      <c r="AD26" s="66"/>
      <c r="AE26" s="78"/>
      <c r="AF26" s="78"/>
      <c r="AG26" s="66"/>
      <c r="AH26" s="66"/>
      <c r="AI26" s="66"/>
      <c r="AJ26" s="66"/>
      <c r="AK26" s="58"/>
    </row>
    <row r="27" spans="1:37" x14ac:dyDescent="0.2">
      <c r="A27" s="61"/>
      <c r="B27" s="61"/>
      <c r="C27" s="61"/>
      <c r="D27" s="61"/>
      <c r="E27" s="62"/>
      <c r="F27" s="61"/>
      <c r="G27" s="61"/>
      <c r="I27" s="58"/>
      <c r="J27" s="67">
        <v>90</v>
      </c>
      <c r="K27" s="78">
        <f t="shared" si="7"/>
        <v>18.030875770899165</v>
      </c>
      <c r="L27" s="78">
        <f t="shared" si="7"/>
        <v>18.013383568977481</v>
      </c>
      <c r="M27" s="78">
        <f t="shared" si="7"/>
        <v>17.918417520159064</v>
      </c>
      <c r="N27" s="66"/>
      <c r="O27" s="67">
        <v>90</v>
      </c>
      <c r="P27" s="78">
        <f t="shared" si="9"/>
        <v>0.16755595220804215</v>
      </c>
      <c r="Q27" s="78">
        <f t="shared" si="8"/>
        <v>0.16718044419765471</v>
      </c>
      <c r="R27" s="78">
        <f t="shared" si="8"/>
        <v>0.16513660774111749</v>
      </c>
      <c r="S27" s="78"/>
      <c r="T27" s="66"/>
      <c r="U27" s="66"/>
      <c r="V27" s="66"/>
      <c r="W27" s="66"/>
      <c r="X27" s="66"/>
      <c r="Y27" s="66"/>
      <c r="Z27" s="66"/>
      <c r="AA27" s="67">
        <v>90</v>
      </c>
      <c r="AB27" s="78">
        <f t="shared" si="10"/>
        <v>-3.7550801038743753E-4</v>
      </c>
      <c r="AC27" s="78">
        <f t="shared" si="11"/>
        <v>-2.4193444669246555E-3</v>
      </c>
      <c r="AD27" s="66"/>
      <c r="AE27" s="78"/>
      <c r="AF27" s="78"/>
      <c r="AG27" s="66"/>
      <c r="AH27" s="66"/>
      <c r="AI27" s="66"/>
      <c r="AJ27" s="66"/>
      <c r="AK27" s="58"/>
    </row>
    <row r="28" spans="1:37" x14ac:dyDescent="0.2">
      <c r="A28" s="61"/>
      <c r="B28" s="61"/>
      <c r="C28" s="61"/>
      <c r="D28" s="61"/>
      <c r="E28" s="62"/>
      <c r="F28" s="61"/>
      <c r="G28" s="61"/>
      <c r="I28" s="58"/>
      <c r="J28" s="67">
        <v>95</v>
      </c>
      <c r="K28" s="78">
        <f t="shared" si="7"/>
        <v>14.971370129077759</v>
      </c>
      <c r="L28" s="78">
        <f t="shared" si="7"/>
        <v>14.950613216157613</v>
      </c>
      <c r="M28" s="78">
        <f>HestonSVCPF($B$10,$B$11,$B$12,$B$13,M$23,$B$15,$J28,$B$17,$B$18,$B$19,$B$20)</f>
        <v>14.817803818431052</v>
      </c>
      <c r="N28" s="66"/>
      <c r="O28" s="67">
        <v>95</v>
      </c>
      <c r="P28" s="78">
        <f t="shared" si="9"/>
        <v>0.16756346236824987</v>
      </c>
      <c r="Q28" s="78">
        <f t="shared" si="8"/>
        <v>0.16717257641077041</v>
      </c>
      <c r="R28" s="78">
        <f t="shared" si="8"/>
        <v>0.16466954730153083</v>
      </c>
      <c r="S28" s="78"/>
      <c r="T28" s="66"/>
      <c r="U28" s="66"/>
      <c r="V28" s="66"/>
      <c r="W28" s="66"/>
      <c r="X28" s="66"/>
      <c r="Y28" s="66"/>
      <c r="Z28" s="66"/>
      <c r="AA28" s="67">
        <v>95</v>
      </c>
      <c r="AB28" s="78">
        <f t="shared" si="10"/>
        <v>-3.9088595747946431E-4</v>
      </c>
      <c r="AC28" s="78">
        <f t="shared" si="11"/>
        <v>-2.8939150667190439E-3</v>
      </c>
      <c r="AD28" s="66"/>
      <c r="AE28" s="78"/>
      <c r="AF28" s="78"/>
      <c r="AG28" s="66"/>
      <c r="AH28" s="66"/>
      <c r="AI28" s="66"/>
      <c r="AJ28" s="66"/>
      <c r="AK28" s="58"/>
    </row>
    <row r="29" spans="1:37" x14ac:dyDescent="0.2">
      <c r="A29" s="61"/>
      <c r="B29" s="61"/>
      <c r="C29" s="61"/>
      <c r="D29" s="61"/>
      <c r="E29" s="62"/>
      <c r="F29" s="61"/>
      <c r="G29" s="61"/>
      <c r="I29" s="58"/>
      <c r="J29" s="67">
        <v>100</v>
      </c>
      <c r="K29" s="78">
        <f t="shared" si="7"/>
        <v>12.292399395268038</v>
      </c>
      <c r="L29" s="78">
        <f t="shared" si="7"/>
        <v>12.270790878543508</v>
      </c>
      <c r="M29" s="78">
        <f t="shared" si="7"/>
        <v>12.114644888317878</v>
      </c>
      <c r="N29" s="66"/>
      <c r="O29" s="67">
        <v>100</v>
      </c>
      <c r="P29" s="78">
        <f t="shared" si="9"/>
        <v>0.16757025727510452</v>
      </c>
      <c r="Q29" s="78">
        <f t="shared" si="8"/>
        <v>0.16719582214474676</v>
      </c>
      <c r="R29" s="78">
        <f t="shared" si="8"/>
        <v>0.16448894582986828</v>
      </c>
      <c r="S29" s="78"/>
      <c r="T29" s="66"/>
      <c r="U29" s="66"/>
      <c r="V29" s="66"/>
      <c r="W29" s="66"/>
      <c r="X29" s="66"/>
      <c r="Y29" s="66"/>
      <c r="Z29" s="66"/>
      <c r="AA29" s="67">
        <v>100</v>
      </c>
      <c r="AB29" s="78">
        <f t="shared" si="10"/>
        <v>-3.7443513035775866E-4</v>
      </c>
      <c r="AC29" s="78">
        <f t="shared" si="11"/>
        <v>-3.08131144523624E-3</v>
      </c>
      <c r="AD29" s="66"/>
      <c r="AE29" s="78"/>
      <c r="AF29" s="78"/>
      <c r="AG29" s="66"/>
      <c r="AH29" s="66"/>
      <c r="AI29" s="66"/>
      <c r="AJ29" s="66"/>
      <c r="AK29" s="58"/>
    </row>
    <row r="30" spans="1:37" x14ac:dyDescent="0.2">
      <c r="A30" s="61"/>
      <c r="B30" s="61"/>
      <c r="C30" s="61"/>
      <c r="D30" s="61"/>
      <c r="E30" s="62"/>
      <c r="F30" s="61"/>
      <c r="G30" s="61"/>
      <c r="I30" s="58"/>
      <c r="J30" s="67">
        <v>105</v>
      </c>
      <c r="K30" s="78">
        <f t="shared" si="7"/>
        <v>9.986616740260196</v>
      </c>
      <c r="L30" s="78">
        <f t="shared" si="7"/>
        <v>9.9667061885431583</v>
      </c>
      <c r="M30" s="78">
        <f t="shared" si="7"/>
        <v>9.8053108694847815</v>
      </c>
      <c r="N30" s="66"/>
      <c r="O30" s="67">
        <v>105</v>
      </c>
      <c r="P30" s="78">
        <f t="shared" si="9"/>
        <v>0.16757633692860602</v>
      </c>
      <c r="Q30" s="78">
        <f t="shared" si="8"/>
        <v>0.16724517462611199</v>
      </c>
      <c r="R30" s="78">
        <f t="shared" si="8"/>
        <v>0.16455975591182709</v>
      </c>
      <c r="S30" s="78"/>
      <c r="T30" s="66"/>
      <c r="U30" s="66"/>
      <c r="V30" s="66"/>
      <c r="W30" s="66"/>
      <c r="X30" s="66"/>
      <c r="Y30" s="66"/>
      <c r="Z30" s="66"/>
      <c r="AA30" s="67">
        <v>105</v>
      </c>
      <c r="AB30" s="78">
        <f t="shared" si="10"/>
        <v>-3.3116230249402578E-4</v>
      </c>
      <c r="AC30" s="78">
        <f t="shared" si="11"/>
        <v>-3.0165810167789298E-3</v>
      </c>
      <c r="AD30" s="66"/>
      <c r="AE30" s="78"/>
      <c r="AF30" s="78"/>
      <c r="AG30" s="66"/>
      <c r="AH30" s="66"/>
      <c r="AI30" s="66"/>
      <c r="AJ30" s="66"/>
      <c r="AK30" s="58"/>
    </row>
    <row r="31" spans="1:37" x14ac:dyDescent="0.2">
      <c r="A31" s="61"/>
      <c r="B31" s="61"/>
      <c r="C31" s="61"/>
      <c r="D31" s="61"/>
      <c r="E31" s="62"/>
      <c r="F31" s="61"/>
      <c r="G31" s="61"/>
      <c r="I31" s="58"/>
      <c r="J31" s="67">
        <v>110</v>
      </c>
      <c r="K31" s="78">
        <f t="shared" si="7"/>
        <v>8.0336185763644341</v>
      </c>
      <c r="L31" s="78">
        <f t="shared" si="7"/>
        <v>8.0176234366679022</v>
      </c>
      <c r="M31" s="78">
        <f t="shared" si="7"/>
        <v>7.8685961645101425</v>
      </c>
      <c r="N31" s="66"/>
      <c r="O31" s="67">
        <v>110</v>
      </c>
      <c r="P31" s="78">
        <f t="shared" si="9"/>
        <v>0.16758205895543099</v>
      </c>
      <c r="Q31" s="78">
        <f t="shared" si="8"/>
        <v>0.16731723640143872</v>
      </c>
      <c r="R31" s="78">
        <f t="shared" si="8"/>
        <v>0.16484800301313401</v>
      </c>
      <c r="S31" s="78"/>
      <c r="T31" s="66"/>
      <c r="U31" s="66"/>
      <c r="V31" s="66"/>
      <c r="W31" s="66"/>
      <c r="X31" s="66"/>
      <c r="Y31" s="66"/>
      <c r="Z31" s="66"/>
      <c r="AA31" s="67">
        <v>110</v>
      </c>
      <c r="AB31" s="78">
        <f t="shared" si="10"/>
        <v>-2.6482255399226662E-4</v>
      </c>
      <c r="AC31" s="78">
        <f t="shared" si="11"/>
        <v>-2.7340559422969757E-3</v>
      </c>
      <c r="AD31" s="66"/>
      <c r="AE31" s="78"/>
      <c r="AF31" s="78"/>
      <c r="AG31" s="66"/>
      <c r="AH31" s="66"/>
      <c r="AI31" s="66"/>
      <c r="AJ31" s="66"/>
      <c r="AK31" s="58"/>
    </row>
    <row r="32" spans="1:37" x14ac:dyDescent="0.2">
      <c r="A32" s="61"/>
      <c r="B32" s="61"/>
      <c r="C32" s="61"/>
      <c r="D32" s="61"/>
      <c r="E32" s="62"/>
      <c r="F32" s="61"/>
      <c r="G32" s="61"/>
      <c r="I32" s="58"/>
      <c r="J32" s="67">
        <v>115</v>
      </c>
      <c r="K32" s="78">
        <f t="shared" si="7"/>
        <v>6.4037309250838046</v>
      </c>
      <c r="L32" s="78">
        <f t="shared" si="7"/>
        <v>6.393228067591064</v>
      </c>
      <c r="M32" s="78">
        <f t="shared" si="7"/>
        <v>6.270632536185051</v>
      </c>
      <c r="N32" s="66"/>
      <c r="O32" s="67">
        <v>115</v>
      </c>
      <c r="P32" s="78">
        <f t="shared" si="9"/>
        <v>0.16758778098225591</v>
      </c>
      <c r="Q32" s="78">
        <f t="shared" si="8"/>
        <v>0.16740896764397623</v>
      </c>
      <c r="R32" s="78">
        <f t="shared" si="8"/>
        <v>0.1653207854795456</v>
      </c>
      <c r="S32" s="78"/>
      <c r="T32" s="66"/>
      <c r="U32" s="66"/>
      <c r="V32" s="66"/>
      <c r="W32" s="66"/>
      <c r="X32" s="66"/>
      <c r="Y32" s="66"/>
      <c r="Z32" s="66"/>
      <c r="AA32" s="67">
        <v>115</v>
      </c>
      <c r="AB32" s="78">
        <f t="shared" si="10"/>
        <v>-1.7881333827968193E-4</v>
      </c>
      <c r="AC32" s="78">
        <f t="shared" si="11"/>
        <v>-2.2669955027103117E-3</v>
      </c>
      <c r="AD32" s="66"/>
      <c r="AE32" s="78"/>
      <c r="AF32" s="78"/>
      <c r="AG32" s="66"/>
      <c r="AH32" s="66"/>
      <c r="AI32" s="66"/>
      <c r="AJ32" s="66"/>
      <c r="AK32" s="58"/>
    </row>
    <row r="33" spans="1:37" x14ac:dyDescent="0.2">
      <c r="A33" s="61"/>
      <c r="B33" s="61"/>
      <c r="C33" s="61"/>
      <c r="D33" s="61"/>
      <c r="E33" s="62"/>
      <c r="F33" s="61"/>
      <c r="G33" s="61"/>
      <c r="I33" s="58"/>
      <c r="J33" s="67">
        <v>120</v>
      </c>
      <c r="K33" s="78">
        <f t="shared" si="7"/>
        <v>5.0617886301620008</v>
      </c>
      <c r="L33" s="78">
        <f t="shared" si="7"/>
        <v>5.0575910255151335</v>
      </c>
      <c r="M33" s="78">
        <f t="shared" si="7"/>
        <v>4.9703509045704752</v>
      </c>
      <c r="N33" s="66"/>
      <c r="O33" s="67">
        <v>120</v>
      </c>
      <c r="P33" s="78">
        <f t="shared" si="9"/>
        <v>0.16759278775572772</v>
      </c>
      <c r="Q33" s="78">
        <f t="shared" si="8"/>
        <v>0.16751732852697371</v>
      </c>
      <c r="R33" s="78">
        <f t="shared" si="8"/>
        <v>0.16594698979020117</v>
      </c>
      <c r="S33" s="78"/>
      <c r="T33" s="66"/>
      <c r="U33" s="66"/>
      <c r="V33" s="66"/>
      <c r="W33" s="66"/>
      <c r="X33" s="66"/>
      <c r="Y33" s="66"/>
      <c r="Z33" s="66"/>
      <c r="AA33" s="67">
        <v>120</v>
      </c>
      <c r="AB33" s="78">
        <f t="shared" si="10"/>
        <v>-7.5459228754015673E-5</v>
      </c>
      <c r="AC33" s="78">
        <f t="shared" si="11"/>
        <v>-1.645797965526552E-3</v>
      </c>
      <c r="AD33" s="66"/>
      <c r="AE33" s="78"/>
      <c r="AF33" s="78"/>
      <c r="AG33" s="66"/>
      <c r="AH33" s="66"/>
      <c r="AI33" s="66"/>
      <c r="AJ33" s="66"/>
      <c r="AK33" s="58"/>
    </row>
    <row r="34" spans="1:37" x14ac:dyDescent="0.2">
      <c r="A34" s="61"/>
      <c r="B34" s="61"/>
      <c r="C34" s="61"/>
      <c r="D34" s="61"/>
      <c r="E34" s="62"/>
      <c r="F34" s="61"/>
      <c r="G34" s="61"/>
      <c r="I34" s="58"/>
      <c r="J34" s="59"/>
      <c r="K34" s="63"/>
      <c r="L34" s="63"/>
      <c r="M34" s="63"/>
      <c r="N34" s="58"/>
      <c r="O34" s="59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63"/>
      <c r="AB34" s="63"/>
      <c r="AC34" s="63"/>
      <c r="AD34" s="58"/>
      <c r="AE34" s="58"/>
      <c r="AF34" s="58"/>
      <c r="AG34" s="58"/>
      <c r="AH34" s="58"/>
      <c r="AI34" s="58"/>
      <c r="AJ34" s="58"/>
      <c r="AK34" s="58"/>
    </row>
    <row r="35" spans="1:37" x14ac:dyDescent="0.2">
      <c r="A35" s="61"/>
      <c r="B35" s="61"/>
      <c r="C35" s="61"/>
      <c r="D35" s="60"/>
      <c r="E35" s="57"/>
      <c r="F35" s="60"/>
      <c r="G35" s="60"/>
      <c r="H35" s="53"/>
      <c r="I35" s="69"/>
      <c r="J35" s="69"/>
      <c r="K35" s="69"/>
      <c r="L35" s="69"/>
      <c r="M35" s="69"/>
      <c r="N35" s="58"/>
      <c r="O35" s="69"/>
      <c r="P35" s="58"/>
      <c r="Q35" s="58"/>
      <c r="R35" s="58"/>
      <c r="S35" s="58"/>
      <c r="T35" s="69"/>
      <c r="U35" s="58"/>
      <c r="V35" s="58"/>
      <c r="W35" s="58"/>
      <c r="X35" s="58"/>
      <c r="Y35" s="58"/>
      <c r="Z35" s="58"/>
      <c r="AA35" s="63"/>
      <c r="AB35" s="63"/>
      <c r="AC35" s="63"/>
      <c r="AD35" s="58"/>
      <c r="AE35" s="58"/>
      <c r="AF35" s="58"/>
      <c r="AG35" s="58"/>
      <c r="AH35" s="58"/>
      <c r="AI35" s="58"/>
      <c r="AJ35" s="58"/>
      <c r="AK35" s="58"/>
    </row>
    <row r="36" spans="1:37" s="53" customFormat="1" x14ac:dyDescent="0.2">
      <c r="A36" s="60"/>
      <c r="B36" s="60"/>
      <c r="C36" s="60"/>
      <c r="D36" s="61"/>
      <c r="E36" s="62"/>
      <c r="F36" s="61"/>
      <c r="G36" s="61"/>
      <c r="H36" s="54"/>
      <c r="I36" s="58"/>
      <c r="J36" s="59"/>
      <c r="K36" s="63"/>
      <c r="L36" s="63"/>
      <c r="M36" s="63"/>
      <c r="N36" s="58"/>
      <c r="O36" s="59"/>
      <c r="P36" s="58"/>
      <c r="Q36" s="58"/>
      <c r="R36" s="58"/>
      <c r="S36" s="58"/>
      <c r="T36" s="58"/>
      <c r="U36" s="69"/>
      <c r="V36" s="69"/>
      <c r="W36" s="69"/>
      <c r="X36" s="69"/>
      <c r="Y36" s="69"/>
      <c r="Z36" s="69"/>
      <c r="AA36" s="59"/>
      <c r="AB36" s="59"/>
      <c r="AC36" s="59"/>
      <c r="AD36" s="69"/>
      <c r="AE36" s="58"/>
      <c r="AF36" s="58"/>
      <c r="AG36" s="58"/>
      <c r="AH36" s="58"/>
      <c r="AI36" s="69"/>
      <c r="AJ36" s="69"/>
      <c r="AK36" s="69"/>
    </row>
    <row r="37" spans="1:37" x14ac:dyDescent="0.2">
      <c r="A37" s="61"/>
      <c r="B37" s="61"/>
      <c r="C37" s="61"/>
      <c r="D37" s="61"/>
      <c r="E37" s="62"/>
      <c r="F37" s="61"/>
      <c r="G37" s="61"/>
      <c r="I37" s="58"/>
      <c r="J37" s="83" t="s">
        <v>21</v>
      </c>
      <c r="K37" s="84">
        <v>0</v>
      </c>
      <c r="L37" s="84">
        <v>0.05</v>
      </c>
      <c r="M37" s="84">
        <v>0.1</v>
      </c>
      <c r="N37" s="68"/>
      <c r="O37" s="83" t="s">
        <v>21</v>
      </c>
      <c r="P37" s="84">
        <v>0</v>
      </c>
      <c r="Q37" s="84">
        <v>0.05</v>
      </c>
      <c r="R37" s="84">
        <v>0.1</v>
      </c>
      <c r="S37" s="85"/>
      <c r="T37" s="66"/>
      <c r="U37" s="66"/>
      <c r="V37" s="66"/>
      <c r="W37" s="66"/>
      <c r="X37" s="66"/>
      <c r="Y37" s="66"/>
      <c r="Z37" s="66"/>
      <c r="AA37" s="83" t="s">
        <v>21</v>
      </c>
      <c r="AB37" s="84">
        <v>0.05</v>
      </c>
      <c r="AC37" s="84">
        <v>0.1</v>
      </c>
      <c r="AD37" s="66"/>
      <c r="AE37" s="68"/>
      <c r="AF37" s="68"/>
      <c r="AG37" s="68"/>
      <c r="AH37" s="68"/>
      <c r="AI37" s="66"/>
      <c r="AJ37" s="66"/>
      <c r="AK37" s="58"/>
    </row>
    <row r="38" spans="1:37" ht="17" thickBot="1" x14ac:dyDescent="0.25">
      <c r="A38" s="61"/>
      <c r="B38" s="61"/>
      <c r="C38" s="61"/>
      <c r="D38" s="61"/>
      <c r="E38" s="62"/>
      <c r="F38" s="61"/>
      <c r="G38" s="61"/>
      <c r="I38" s="58"/>
      <c r="J38" s="64" t="s">
        <v>19</v>
      </c>
      <c r="K38" s="155" t="s">
        <v>38</v>
      </c>
      <c r="L38" s="155"/>
      <c r="M38" s="155"/>
      <c r="N38" s="66"/>
      <c r="O38" s="64" t="s">
        <v>19</v>
      </c>
      <c r="P38" s="155" t="s">
        <v>39</v>
      </c>
      <c r="Q38" s="155"/>
      <c r="R38" s="155"/>
      <c r="S38" s="67"/>
      <c r="T38" s="66"/>
      <c r="U38" s="66"/>
      <c r="V38" s="66"/>
      <c r="W38" s="66"/>
      <c r="X38" s="66"/>
      <c r="Y38" s="66"/>
      <c r="Z38" s="66"/>
      <c r="AA38" s="64" t="s">
        <v>19</v>
      </c>
      <c r="AB38" s="155" t="s">
        <v>45</v>
      </c>
      <c r="AC38" s="155"/>
      <c r="AD38" s="66"/>
      <c r="AE38" s="66"/>
      <c r="AF38" s="66"/>
      <c r="AG38" s="66"/>
      <c r="AH38" s="66"/>
      <c r="AI38" s="66"/>
      <c r="AJ38" s="66"/>
      <c r="AK38" s="58"/>
    </row>
    <row r="39" spans="1:37" ht="17" thickTop="1" x14ac:dyDescent="0.2">
      <c r="A39" s="61"/>
      <c r="B39" s="61"/>
      <c r="C39" s="61"/>
      <c r="D39" s="61"/>
      <c r="E39" s="62"/>
      <c r="F39" s="61"/>
      <c r="G39" s="61"/>
      <c r="I39" s="58"/>
      <c r="J39" s="85">
        <v>80</v>
      </c>
      <c r="K39" s="78">
        <f t="shared" ref="K39:M47" si="12">HestonSVCPF($B$10,$B$11,K$37,$B$13,$B$14,$B$15,$J39,$B$17,$B$18,$B$19,$B$20)</f>
        <v>25.241471753630684</v>
      </c>
      <c r="L39" s="78">
        <f t="shared" si="12"/>
        <v>25.202067061398047</v>
      </c>
      <c r="M39" s="78">
        <f t="shared" si="12"/>
        <v>25.163871106155149</v>
      </c>
      <c r="N39" s="66"/>
      <c r="O39" s="85">
        <v>80</v>
      </c>
      <c r="P39" s="78">
        <f>IVol_BisNewt($B$17,$O39,$B$18,$B$15,$B$22,$B$23,$B$20,K39)</f>
        <v>0.16762604703664777</v>
      </c>
      <c r="Q39" s="78">
        <f t="shared" ref="Q39:R47" si="13">IVol_BisNewt($B$17,$O39,$B$18,$B$15,$B$22,$B$23,$B$20,L39)</f>
        <v>0.16630497409343722</v>
      </c>
      <c r="R39" s="78">
        <f t="shared" si="13"/>
        <v>0.16501251128435138</v>
      </c>
      <c r="S39" s="78"/>
      <c r="T39" s="66"/>
      <c r="U39" s="66"/>
      <c r="V39" s="66"/>
      <c r="W39" s="66"/>
      <c r="X39" s="66"/>
      <c r="Y39" s="66"/>
      <c r="Z39" s="66"/>
      <c r="AA39" s="67">
        <v>80</v>
      </c>
      <c r="AB39" s="78">
        <f>Q39-P39</f>
        <v>-1.3210729432105439E-3</v>
      </c>
      <c r="AC39" s="78">
        <f>R39-P39</f>
        <v>-2.613535752296392E-3</v>
      </c>
      <c r="AD39" s="66"/>
      <c r="AE39" s="78"/>
      <c r="AF39" s="78"/>
      <c r="AG39" s="66"/>
      <c r="AH39" s="66"/>
      <c r="AI39" s="66"/>
      <c r="AJ39" s="66"/>
      <c r="AK39" s="58"/>
    </row>
    <row r="40" spans="1:37" x14ac:dyDescent="0.2">
      <c r="A40" s="61"/>
      <c r="B40" s="61"/>
      <c r="C40" s="61"/>
      <c r="D40" s="61"/>
      <c r="E40" s="62"/>
      <c r="F40" s="61"/>
      <c r="G40" s="61"/>
      <c r="I40" s="58"/>
      <c r="J40" s="85">
        <v>85</v>
      </c>
      <c r="K40" s="78">
        <f t="shared" si="12"/>
        <v>21.43474287267922</v>
      </c>
      <c r="L40" s="78">
        <f t="shared" si="12"/>
        <v>21.384214748844098</v>
      </c>
      <c r="M40" s="78">
        <f t="shared" si="12"/>
        <v>21.335065384902833</v>
      </c>
      <c r="N40" s="66"/>
      <c r="O40" s="85">
        <v>85</v>
      </c>
      <c r="P40" s="78">
        <f t="shared" ref="P40:P47" si="14">IVol_BisNewt($B$17,$O40,$B$18,$B$15,$B$22,$B$23,$B$20,K40)</f>
        <v>0.16683712258815767</v>
      </c>
      <c r="Q40" s="78">
        <f t="shared" si="13"/>
        <v>0.16552141404509546</v>
      </c>
      <c r="R40" s="78">
        <f t="shared" si="13"/>
        <v>0.16423503088951114</v>
      </c>
      <c r="S40" s="78"/>
      <c r="T40" s="66"/>
      <c r="U40" s="66"/>
      <c r="V40" s="66"/>
      <c r="W40" s="66"/>
      <c r="X40" s="66"/>
      <c r="Y40" s="66"/>
      <c r="Z40" s="66"/>
      <c r="AA40" s="67">
        <v>85</v>
      </c>
      <c r="AB40" s="78">
        <f t="shared" ref="AB40:AB47" si="15">Q40-P40</f>
        <v>-1.3157085430622051E-3</v>
      </c>
      <c r="AC40" s="78">
        <f t="shared" ref="AC40:AC47" si="16">R40-P40</f>
        <v>-2.6020916986465303E-3</v>
      </c>
      <c r="AD40" s="66"/>
      <c r="AE40" s="78"/>
      <c r="AF40" s="78"/>
      <c r="AG40" s="66"/>
      <c r="AH40" s="66"/>
      <c r="AI40" s="66"/>
      <c r="AJ40" s="66"/>
      <c r="AK40" s="58"/>
    </row>
    <row r="41" spans="1:37" x14ac:dyDescent="0.2">
      <c r="A41" s="61"/>
      <c r="B41" s="61"/>
      <c r="C41" s="61"/>
      <c r="D41" s="61"/>
      <c r="E41" s="62"/>
      <c r="F41" s="61"/>
      <c r="G41" s="61"/>
      <c r="I41" s="58"/>
      <c r="J41" s="85">
        <v>90</v>
      </c>
      <c r="K41" s="78">
        <f t="shared" si="12"/>
        <v>17.972655847511341</v>
      </c>
      <c r="L41" s="78">
        <f t="shared" si="12"/>
        <v>17.911770920357938</v>
      </c>
      <c r="M41" s="78">
        <f t="shared" si="12"/>
        <v>17.852397705866242</v>
      </c>
      <c r="N41" s="66"/>
      <c r="O41" s="85">
        <v>90</v>
      </c>
      <c r="P41" s="78">
        <f t="shared" si="14"/>
        <v>0.16630497409343722</v>
      </c>
      <c r="Q41" s="78">
        <f t="shared" si="13"/>
        <v>0.16499319944381716</v>
      </c>
      <c r="R41" s="78">
        <f t="shared" si="13"/>
        <v>0.16371075018167497</v>
      </c>
      <c r="S41" s="78"/>
      <c r="T41" s="66"/>
      <c r="U41" s="66"/>
      <c r="V41" s="66"/>
      <c r="W41" s="66"/>
      <c r="X41" s="66"/>
      <c r="Y41" s="66"/>
      <c r="Z41" s="66"/>
      <c r="AA41" s="67">
        <v>90</v>
      </c>
      <c r="AB41" s="78">
        <f t="shared" si="15"/>
        <v>-1.3117746496200677E-3</v>
      </c>
      <c r="AC41" s="78">
        <f t="shared" si="16"/>
        <v>-2.5942239117622556E-3</v>
      </c>
      <c r="AD41" s="66"/>
      <c r="AE41" s="78"/>
      <c r="AF41" s="78"/>
      <c r="AG41" s="66"/>
      <c r="AH41" s="66"/>
      <c r="AI41" s="66"/>
      <c r="AJ41" s="66"/>
      <c r="AK41" s="58"/>
    </row>
    <row r="42" spans="1:37" x14ac:dyDescent="0.2">
      <c r="A42" s="61"/>
      <c r="B42" s="61"/>
      <c r="C42" s="61"/>
      <c r="D42" s="61"/>
      <c r="E42" s="62"/>
      <c r="F42" s="61"/>
      <c r="G42" s="61"/>
      <c r="I42" s="58"/>
      <c r="J42" s="85">
        <v>95</v>
      </c>
      <c r="K42" s="78">
        <f t="shared" si="12"/>
        <v>14.888478388048085</v>
      </c>
      <c r="L42" s="78">
        <f t="shared" si="12"/>
        <v>14.819030380918043</v>
      </c>
      <c r="M42" s="78">
        <f t="shared" si="12"/>
        <v>14.751193477098925</v>
      </c>
      <c r="N42" s="66"/>
      <c r="O42" s="85">
        <v>95</v>
      </c>
      <c r="P42" s="78">
        <f t="shared" si="14"/>
        <v>0.16600242192506789</v>
      </c>
      <c r="Q42" s="78">
        <f t="shared" si="13"/>
        <v>0.16469279303550721</v>
      </c>
      <c r="R42" s="78">
        <f t="shared" si="13"/>
        <v>0.1634121319067478</v>
      </c>
      <c r="S42" s="78"/>
      <c r="T42" s="66"/>
      <c r="U42" s="66"/>
      <c r="V42" s="66"/>
      <c r="W42" s="66"/>
      <c r="X42" s="66"/>
      <c r="Y42" s="66"/>
      <c r="Z42" s="66"/>
      <c r="AA42" s="67">
        <v>95</v>
      </c>
      <c r="AB42" s="78">
        <f t="shared" si="15"/>
        <v>-1.3096288895606822E-3</v>
      </c>
      <c r="AC42" s="78">
        <f t="shared" si="16"/>
        <v>-2.5902900183200905E-3</v>
      </c>
      <c r="AD42" s="66"/>
      <c r="AE42" s="78"/>
      <c r="AF42" s="78"/>
      <c r="AG42" s="66"/>
      <c r="AH42" s="66"/>
      <c r="AI42" s="66"/>
      <c r="AJ42" s="66"/>
      <c r="AK42" s="58"/>
    </row>
    <row r="43" spans="1:37" x14ac:dyDescent="0.2">
      <c r="I43" s="58"/>
      <c r="J43" s="85">
        <v>100</v>
      </c>
      <c r="K43" s="78">
        <f t="shared" si="12"/>
        <v>12.19612663477904</v>
      </c>
      <c r="L43" s="78">
        <f t="shared" si="12"/>
        <v>12.120633233025567</v>
      </c>
      <c r="M43" s="78">
        <f t="shared" si="12"/>
        <v>12.046823204486381</v>
      </c>
      <c r="N43" s="66"/>
      <c r="O43" s="85">
        <v>100</v>
      </c>
      <c r="P43" s="78">
        <f t="shared" si="14"/>
        <v>0.16590157120227816</v>
      </c>
      <c r="Q43" s="78">
        <f t="shared" si="13"/>
        <v>0.16459265756607055</v>
      </c>
      <c r="R43" s="78">
        <f t="shared" si="13"/>
        <v>0.16331306931734085</v>
      </c>
      <c r="S43" s="78"/>
      <c r="T43" s="66"/>
      <c r="U43" s="66"/>
      <c r="V43" s="66"/>
      <c r="W43" s="66"/>
      <c r="X43" s="66"/>
      <c r="Y43" s="66"/>
      <c r="Z43" s="66"/>
      <c r="AA43" s="67">
        <v>100</v>
      </c>
      <c r="AB43" s="78">
        <f t="shared" si="15"/>
        <v>-1.3089136362076093E-3</v>
      </c>
      <c r="AC43" s="78">
        <f t="shared" si="16"/>
        <v>-2.5885018849373109E-3</v>
      </c>
      <c r="AD43" s="66"/>
      <c r="AE43" s="78"/>
      <c r="AF43" s="78"/>
      <c r="AG43" s="66"/>
      <c r="AH43" s="66"/>
      <c r="AI43" s="66"/>
      <c r="AJ43" s="66"/>
      <c r="AK43" s="58"/>
    </row>
    <row r="44" spans="1:37" x14ac:dyDescent="0.2">
      <c r="I44" s="58"/>
      <c r="J44" s="85">
        <v>105</v>
      </c>
      <c r="K44" s="78">
        <f t="shared" si="12"/>
        <v>9.8904794265614786</v>
      </c>
      <c r="L44" s="78">
        <f t="shared" si="12"/>
        <v>9.8117860679216129</v>
      </c>
      <c r="M44" s="78">
        <f t="shared" si="12"/>
        <v>9.7348267586647026</v>
      </c>
      <c r="N44" s="66"/>
      <c r="O44" s="85">
        <v>105</v>
      </c>
      <c r="P44" s="78">
        <f t="shared" si="14"/>
        <v>0.16597667280435563</v>
      </c>
      <c r="Q44" s="78">
        <f t="shared" si="13"/>
        <v>0.16466775916814802</v>
      </c>
      <c r="R44" s="78">
        <f t="shared" si="13"/>
        <v>0.16338745566606522</v>
      </c>
      <c r="S44" s="78"/>
      <c r="T44" s="66"/>
      <c r="U44" s="66"/>
      <c r="V44" s="66"/>
      <c r="W44" s="66"/>
      <c r="X44" s="66"/>
      <c r="Y44" s="66"/>
      <c r="Z44" s="66"/>
      <c r="AA44" s="67">
        <v>105</v>
      </c>
      <c r="AB44" s="78">
        <f t="shared" si="15"/>
        <v>-1.3089136362076093E-3</v>
      </c>
      <c r="AC44" s="78">
        <f t="shared" si="16"/>
        <v>-2.5892171382904117E-3</v>
      </c>
      <c r="AD44" s="66"/>
      <c r="AE44" s="78"/>
      <c r="AF44" s="78"/>
      <c r="AG44" s="66"/>
      <c r="AH44" s="66"/>
      <c r="AI44" s="66"/>
      <c r="AJ44" s="66"/>
      <c r="AK44" s="58"/>
    </row>
    <row r="45" spans="1:37" x14ac:dyDescent="0.2">
      <c r="I45" s="58"/>
      <c r="J45" s="85">
        <v>110</v>
      </c>
      <c r="K45" s="78">
        <f t="shared" si="12"/>
        <v>7.9504171368617147</v>
      </c>
      <c r="L45" s="78">
        <f t="shared" si="12"/>
        <v>7.8713154189019114</v>
      </c>
      <c r="M45" s="78">
        <f t="shared" si="12"/>
        <v>7.7939796149594915</v>
      </c>
      <c r="N45" s="66"/>
      <c r="O45" s="85">
        <v>110</v>
      </c>
      <c r="P45" s="78">
        <f t="shared" si="14"/>
        <v>0.16620376574397089</v>
      </c>
      <c r="Q45" s="78">
        <f t="shared" si="13"/>
        <v>0.16489306397438053</v>
      </c>
      <c r="R45" s="78">
        <f t="shared" si="13"/>
        <v>0.16361132996559147</v>
      </c>
      <c r="S45" s="78"/>
      <c r="T45" s="66"/>
      <c r="U45" s="66"/>
      <c r="V45" s="66"/>
      <c r="W45" s="66"/>
      <c r="X45" s="66"/>
      <c r="Y45" s="66"/>
      <c r="Z45" s="66"/>
      <c r="AA45" s="67">
        <v>110</v>
      </c>
      <c r="AB45" s="78">
        <f t="shared" si="15"/>
        <v>-1.3107017695903611E-3</v>
      </c>
      <c r="AC45" s="78">
        <f t="shared" si="16"/>
        <v>-2.5924357783794205E-3</v>
      </c>
      <c r="AD45" s="66"/>
      <c r="AE45" s="78"/>
      <c r="AF45" s="78"/>
      <c r="AG45" s="66"/>
      <c r="AH45" s="66"/>
      <c r="AI45" s="66"/>
      <c r="AJ45" s="66"/>
      <c r="AK45" s="58"/>
    </row>
    <row r="46" spans="1:37" x14ac:dyDescent="0.2">
      <c r="I46" s="58"/>
      <c r="J46" s="85">
        <v>115</v>
      </c>
      <c r="K46" s="78">
        <f t="shared" si="12"/>
        <v>6.343382013874109</v>
      </c>
      <c r="L46" s="78">
        <f t="shared" si="12"/>
        <v>6.2663179250173648</v>
      </c>
      <c r="M46" s="78">
        <f t="shared" si="12"/>
        <v>6.19103300069958</v>
      </c>
      <c r="N46" s="66"/>
      <c r="O46" s="85">
        <v>115</v>
      </c>
      <c r="P46" s="78">
        <f t="shared" si="14"/>
        <v>0.16656031954050063</v>
      </c>
      <c r="Q46" s="78">
        <f t="shared" si="13"/>
        <v>0.16524711438417433</v>
      </c>
      <c r="R46" s="78">
        <f t="shared" si="13"/>
        <v>0.16396287698864936</v>
      </c>
      <c r="S46" s="78"/>
      <c r="T46" s="66"/>
      <c r="U46" s="66"/>
      <c r="V46" s="66"/>
      <c r="W46" s="66"/>
      <c r="X46" s="66"/>
      <c r="Y46" s="66"/>
      <c r="Z46" s="66"/>
      <c r="AA46" s="67">
        <v>115</v>
      </c>
      <c r="AB46" s="78">
        <f t="shared" si="15"/>
        <v>-1.313205156326297E-3</v>
      </c>
      <c r="AC46" s="78">
        <f t="shared" si="16"/>
        <v>-2.5974425518512645E-3</v>
      </c>
      <c r="AD46" s="66"/>
      <c r="AE46" s="78"/>
      <c r="AF46" s="78"/>
      <c r="AG46" s="66"/>
      <c r="AH46" s="66"/>
      <c r="AI46" s="66"/>
      <c r="AJ46" s="66"/>
      <c r="AK46" s="58"/>
    </row>
    <row r="47" spans="1:37" x14ac:dyDescent="0.2">
      <c r="I47" s="58"/>
      <c r="J47" s="85">
        <v>120</v>
      </c>
      <c r="K47" s="78">
        <f t="shared" si="12"/>
        <v>5.030252719242112</v>
      </c>
      <c r="L47" s="78">
        <f t="shared" si="12"/>
        <v>4.9571553197037783</v>
      </c>
      <c r="M47" s="78">
        <f t="shared" si="12"/>
        <v>4.88583060869707</v>
      </c>
      <c r="N47" s="66"/>
      <c r="O47" s="85">
        <v>120</v>
      </c>
      <c r="P47" s="78">
        <f t="shared" si="14"/>
        <v>0.16702559184670446</v>
      </c>
      <c r="Q47" s="78">
        <f t="shared" si="13"/>
        <v>0.16570916805028918</v>
      </c>
      <c r="R47" s="78">
        <f t="shared" si="13"/>
        <v>0.1644220696413517</v>
      </c>
      <c r="S47" s="78"/>
      <c r="T47" s="66"/>
      <c r="U47" s="66"/>
      <c r="V47" s="66"/>
      <c r="W47" s="66"/>
      <c r="X47" s="66"/>
      <c r="Y47" s="66"/>
      <c r="Z47" s="66"/>
      <c r="AA47" s="67">
        <v>120</v>
      </c>
      <c r="AB47" s="78">
        <f t="shared" si="15"/>
        <v>-1.3164237964152781E-3</v>
      </c>
      <c r="AC47" s="78">
        <f t="shared" si="16"/>
        <v>-2.6035222053527596E-3</v>
      </c>
      <c r="AD47" s="66"/>
      <c r="AE47" s="78"/>
      <c r="AF47" s="78"/>
      <c r="AG47" s="66"/>
      <c r="AH47" s="66"/>
      <c r="AI47" s="66"/>
      <c r="AJ47" s="66"/>
      <c r="AK47" s="58"/>
    </row>
    <row r="48" spans="1:37" x14ac:dyDescent="0.2">
      <c r="I48" s="58"/>
      <c r="J48" s="59"/>
      <c r="K48" s="63"/>
      <c r="L48" s="63"/>
      <c r="M48" s="63"/>
      <c r="N48" s="58"/>
      <c r="O48" s="59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63"/>
      <c r="AB48" s="63"/>
      <c r="AC48" s="63"/>
      <c r="AD48" s="58"/>
      <c r="AE48" s="58"/>
      <c r="AF48" s="58"/>
      <c r="AG48" s="58"/>
      <c r="AH48" s="58"/>
      <c r="AI48" s="58"/>
      <c r="AJ48" s="58"/>
      <c r="AK48" s="58"/>
    </row>
    <row r="49" spans="9:37" x14ac:dyDescent="0.2">
      <c r="I49" s="58"/>
      <c r="J49" s="59"/>
      <c r="K49" s="63"/>
      <c r="L49" s="63"/>
      <c r="M49" s="63"/>
      <c r="N49" s="58"/>
      <c r="O49" s="59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63"/>
      <c r="AB49" s="63"/>
      <c r="AC49" s="63"/>
      <c r="AD49" s="58"/>
      <c r="AE49" s="58"/>
      <c r="AF49" s="58"/>
      <c r="AG49" s="58"/>
      <c r="AH49" s="58"/>
      <c r="AI49" s="58"/>
      <c r="AJ49" s="58"/>
      <c r="AK49" s="58"/>
    </row>
    <row r="52" spans="9:37" x14ac:dyDescent="0.2">
      <c r="I52" s="86"/>
      <c r="J52" s="154" t="s">
        <v>92</v>
      </c>
      <c r="K52" s="154"/>
      <c r="L52" s="154"/>
      <c r="M52" s="154"/>
      <c r="N52" s="154"/>
      <c r="O52" s="154"/>
      <c r="P52" s="154"/>
      <c r="Q52" s="154"/>
      <c r="R52" s="154"/>
      <c r="S52" s="87"/>
      <c r="T52" s="86"/>
      <c r="U52" s="86"/>
      <c r="V52" s="86"/>
      <c r="W52" s="86"/>
      <c r="X52" s="86"/>
      <c r="Y52" s="86"/>
      <c r="Z52" s="86"/>
      <c r="AA52" s="154" t="s">
        <v>50</v>
      </c>
      <c r="AB52" s="154"/>
      <c r="AC52" s="154"/>
      <c r="AD52" s="86"/>
      <c r="AE52" s="86"/>
      <c r="AF52" s="86"/>
      <c r="AG52" s="86"/>
      <c r="AH52" s="86"/>
      <c r="AI52" s="86"/>
      <c r="AJ52" s="86"/>
      <c r="AK52" s="86"/>
    </row>
    <row r="53" spans="9:37" x14ac:dyDescent="0.2"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8"/>
      <c r="AB53" s="88"/>
      <c r="AC53" s="88"/>
      <c r="AD53" s="86"/>
      <c r="AE53" s="86"/>
      <c r="AF53" s="86"/>
      <c r="AG53" s="86"/>
      <c r="AH53" s="86"/>
      <c r="AI53" s="86"/>
      <c r="AJ53" s="86"/>
      <c r="AK53" s="86"/>
    </row>
    <row r="54" spans="9:37" x14ac:dyDescent="0.2"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8"/>
      <c r="AB54" s="88"/>
      <c r="AC54" s="88"/>
      <c r="AD54" s="86"/>
      <c r="AE54" s="86"/>
      <c r="AF54" s="86"/>
      <c r="AG54" s="86"/>
      <c r="AH54" s="86"/>
      <c r="AI54" s="86"/>
      <c r="AJ54" s="86"/>
      <c r="AK54" s="86"/>
    </row>
    <row r="55" spans="9:37" x14ac:dyDescent="0.2">
      <c r="I55" s="86"/>
      <c r="J55" s="89" t="s">
        <v>18</v>
      </c>
      <c r="K55" s="90">
        <v>-0.2</v>
      </c>
      <c r="L55" s="90">
        <v>0</v>
      </c>
      <c r="M55" s="90">
        <v>0.2</v>
      </c>
      <c r="N55" s="91"/>
      <c r="O55" s="89" t="s">
        <v>18</v>
      </c>
      <c r="P55" s="90">
        <v>-0.2</v>
      </c>
      <c r="Q55" s="90">
        <v>0</v>
      </c>
      <c r="R55" s="90">
        <v>0.2</v>
      </c>
      <c r="S55" s="92"/>
      <c r="T55" s="91"/>
      <c r="U55" s="91"/>
      <c r="V55" s="91"/>
      <c r="W55" s="91"/>
      <c r="X55" s="91"/>
      <c r="Y55" s="91"/>
      <c r="Z55" s="91"/>
      <c r="AA55" s="89" t="s">
        <v>18</v>
      </c>
      <c r="AB55" s="90">
        <v>-0.2</v>
      </c>
      <c r="AC55" s="90">
        <v>0.2</v>
      </c>
      <c r="AD55" s="91"/>
      <c r="AE55" s="91"/>
      <c r="AF55" s="91"/>
      <c r="AG55" s="91"/>
      <c r="AH55" s="91"/>
      <c r="AI55" s="91"/>
      <c r="AJ55" s="91"/>
      <c r="AK55" s="86"/>
    </row>
    <row r="56" spans="9:37" ht="17" thickBot="1" x14ac:dyDescent="0.25">
      <c r="I56" s="86"/>
      <c r="J56" s="89" t="s">
        <v>19</v>
      </c>
      <c r="K56" s="156" t="s">
        <v>38</v>
      </c>
      <c r="L56" s="156"/>
      <c r="M56" s="156"/>
      <c r="N56" s="91"/>
      <c r="O56" s="89" t="s">
        <v>19</v>
      </c>
      <c r="P56" s="156" t="s">
        <v>39</v>
      </c>
      <c r="Q56" s="156"/>
      <c r="R56" s="156"/>
      <c r="S56" s="92"/>
      <c r="T56" s="91"/>
      <c r="U56" s="91"/>
      <c r="V56" s="91"/>
      <c r="W56" s="91"/>
      <c r="X56" s="91"/>
      <c r="Y56" s="91"/>
      <c r="Z56" s="91"/>
      <c r="AA56" s="89" t="s">
        <v>19</v>
      </c>
      <c r="AB56" s="156" t="s">
        <v>40</v>
      </c>
      <c r="AC56" s="156"/>
      <c r="AD56" s="91"/>
      <c r="AE56" s="91"/>
      <c r="AF56" s="91"/>
      <c r="AG56" s="91"/>
      <c r="AH56" s="91"/>
      <c r="AI56" s="91"/>
      <c r="AJ56" s="91"/>
      <c r="AK56" s="86"/>
    </row>
    <row r="57" spans="9:37" ht="17" thickTop="1" x14ac:dyDescent="0.2">
      <c r="I57" s="86"/>
      <c r="J57" s="92">
        <v>80</v>
      </c>
      <c r="K57" s="93">
        <f t="shared" ref="K57:M65" si="17">HestonSVGL10($B$10,$B$11,$B$12,K$55,$B$14,$B$15,$J57,$B$17,$B$18,$B$19,$B$20)</f>
        <v>25.174166359352164</v>
      </c>
      <c r="L57" s="93">
        <f t="shared" si="17"/>
        <v>25.157584017466789</v>
      </c>
      <c r="M57" s="93">
        <f t="shared" si="17"/>
        <v>25.151828366197151</v>
      </c>
      <c r="N57" s="94"/>
      <c r="O57" s="92">
        <v>80</v>
      </c>
      <c r="P57" s="93">
        <f>IVol_BisNewt($B$17,$O57,$B$18,$B$15,$B$22,$B$23,$B$20,K57)</f>
        <v>0.16536227017402649</v>
      </c>
      <c r="Q57" s="93">
        <f t="shared" ref="Q57:R65" si="18">IVol_BisNewt($B$17,$O57,$B$18,$B$15,$B$22,$B$23,$B$20,L57)</f>
        <v>0.16479865053176881</v>
      </c>
      <c r="R57" s="93">
        <f t="shared" si="18"/>
        <v>0.16460267111301422</v>
      </c>
      <c r="S57" s="93"/>
      <c r="T57" s="91"/>
      <c r="U57" s="91"/>
      <c r="V57" s="91"/>
      <c r="W57" s="91"/>
      <c r="X57" s="91"/>
      <c r="Y57" s="91"/>
      <c r="Z57" s="91"/>
      <c r="AA57" s="92">
        <v>80</v>
      </c>
      <c r="AB57" s="93">
        <f t="shared" ref="AB57:AB65" si="19">P57-Q57</f>
        <v>5.6361964225767891E-4</v>
      </c>
      <c r="AC57" s="93">
        <f t="shared" ref="AC57:AC65" si="20">R57-Q57</f>
        <v>-1.9597941875459934E-4</v>
      </c>
      <c r="AD57" s="91"/>
      <c r="AE57" s="91"/>
      <c r="AF57" s="91"/>
      <c r="AG57" s="91"/>
      <c r="AH57" s="91"/>
      <c r="AI57" s="91"/>
      <c r="AJ57" s="91"/>
      <c r="AK57" s="86"/>
    </row>
    <row r="58" spans="9:37" x14ac:dyDescent="0.2">
      <c r="I58" s="86"/>
      <c r="J58" s="92">
        <v>85</v>
      </c>
      <c r="K58" s="93">
        <f t="shared" si="17"/>
        <v>21.628750681549398</v>
      </c>
      <c r="L58" s="93">
        <f t="shared" si="17"/>
        <v>21.536113941901526</v>
      </c>
      <c r="M58" s="93">
        <f t="shared" si="17"/>
        <v>21.465541031808527</v>
      </c>
      <c r="N58" s="94"/>
      <c r="O58" s="92">
        <v>85</v>
      </c>
      <c r="P58" s="93">
        <f t="shared" ref="P58:P65" si="21">IVol_BisNewt($B$17,$O58,$B$18,$B$15,$B$22,$B$23,$B$20,K58)</f>
        <v>0.17182708760619164</v>
      </c>
      <c r="Q58" s="93">
        <f t="shared" si="18"/>
        <v>0.16945638036727906</v>
      </c>
      <c r="R58" s="93">
        <f t="shared" si="18"/>
        <v>0.16763570295691488</v>
      </c>
      <c r="S58" s="93"/>
      <c r="T58" s="91"/>
      <c r="U58" s="91"/>
      <c r="V58" s="91"/>
      <c r="W58" s="91"/>
      <c r="X58" s="91"/>
      <c r="Y58" s="91"/>
      <c r="Z58" s="91"/>
      <c r="AA58" s="92">
        <v>85</v>
      </c>
      <c r="AB58" s="93">
        <f t="shared" si="19"/>
        <v>2.3707072389125838E-3</v>
      </c>
      <c r="AC58" s="93">
        <f t="shared" si="20"/>
        <v>-1.8206774103641798E-3</v>
      </c>
      <c r="AD58" s="91"/>
      <c r="AE58" s="91"/>
      <c r="AF58" s="91"/>
      <c r="AG58" s="91"/>
      <c r="AH58" s="91"/>
      <c r="AI58" s="91"/>
      <c r="AJ58" s="91"/>
      <c r="AK58" s="86"/>
    </row>
    <row r="59" spans="9:37" x14ac:dyDescent="0.2">
      <c r="I59" s="86"/>
      <c r="J59" s="92">
        <v>90</v>
      </c>
      <c r="K59" s="93">
        <f t="shared" si="17"/>
        <v>18.310408708847099</v>
      </c>
      <c r="L59" s="93">
        <f t="shared" si="17"/>
        <v>18.199935171858108</v>
      </c>
      <c r="M59" s="93">
        <f t="shared" si="17"/>
        <v>18.114108269376786</v>
      </c>
      <c r="N59" s="94"/>
      <c r="O59" s="92">
        <v>90</v>
      </c>
      <c r="P59" s="93">
        <f t="shared" si="21"/>
        <v>0.17352044991970059</v>
      </c>
      <c r="Q59" s="93">
        <f t="shared" si="18"/>
        <v>0.17117120028138161</v>
      </c>
      <c r="R59" s="93">
        <f t="shared" si="18"/>
        <v>0.16933907881736754</v>
      </c>
      <c r="S59" s="93"/>
      <c r="T59" s="91"/>
      <c r="U59" s="91"/>
      <c r="V59" s="91"/>
      <c r="W59" s="91"/>
      <c r="X59" s="91"/>
      <c r="Y59" s="91"/>
      <c r="Z59" s="91"/>
      <c r="AA59" s="92">
        <v>90</v>
      </c>
      <c r="AB59" s="93">
        <f t="shared" si="19"/>
        <v>2.3492496383189787E-3</v>
      </c>
      <c r="AC59" s="93">
        <f t="shared" si="20"/>
        <v>-1.8321214640140693E-3</v>
      </c>
      <c r="AD59" s="91"/>
      <c r="AE59" s="91"/>
      <c r="AF59" s="91"/>
      <c r="AG59" s="91"/>
      <c r="AH59" s="91"/>
      <c r="AI59" s="91"/>
      <c r="AJ59" s="91"/>
      <c r="AK59" s="86"/>
    </row>
    <row r="60" spans="9:37" x14ac:dyDescent="0.2">
      <c r="I60" s="86"/>
      <c r="J60" s="92">
        <v>95</v>
      </c>
      <c r="K60" s="93">
        <f t="shared" si="17"/>
        <v>15.27383254654962</v>
      </c>
      <c r="L60" s="93">
        <f t="shared" si="17"/>
        <v>15.189177436149732</v>
      </c>
      <c r="M60" s="93">
        <f t="shared" si="17"/>
        <v>15.127617093110546</v>
      </c>
      <c r="N60" s="94"/>
      <c r="O60" s="92">
        <v>95</v>
      </c>
      <c r="P60" s="93">
        <f t="shared" si="21"/>
        <v>0.17324471975207328</v>
      </c>
      <c r="Q60" s="93">
        <f t="shared" si="18"/>
        <v>0.17165685730814939</v>
      </c>
      <c r="R60" s="93">
        <f t="shared" si="18"/>
        <v>0.17050136551618575</v>
      </c>
      <c r="S60" s="93"/>
      <c r="T60" s="91"/>
      <c r="U60" s="91"/>
      <c r="V60" s="91"/>
      <c r="W60" s="91"/>
      <c r="X60" s="91"/>
      <c r="Y60" s="91"/>
      <c r="Z60" s="91"/>
      <c r="AA60" s="92">
        <v>95</v>
      </c>
      <c r="AB60" s="93">
        <f t="shared" si="19"/>
        <v>1.5878624439238931E-3</v>
      </c>
      <c r="AC60" s="93">
        <f t="shared" si="20"/>
        <v>-1.155491791963642E-3</v>
      </c>
      <c r="AD60" s="91"/>
      <c r="AE60" s="91"/>
      <c r="AF60" s="91"/>
      <c r="AG60" s="91"/>
      <c r="AH60" s="91"/>
      <c r="AI60" s="91"/>
      <c r="AJ60" s="91"/>
      <c r="AK60" s="86"/>
    </row>
    <row r="61" spans="9:37" x14ac:dyDescent="0.2">
      <c r="I61" s="86"/>
      <c r="J61" s="92">
        <v>100</v>
      </c>
      <c r="K61" s="93">
        <f t="shared" si="17"/>
        <v>12.561556691927956</v>
      </c>
      <c r="L61" s="93">
        <f t="shared" si="17"/>
        <v>12.529053816866373</v>
      </c>
      <c r="M61" s="93">
        <f t="shared" si="17"/>
        <v>12.517468915122096</v>
      </c>
      <c r="N61" s="94"/>
      <c r="O61" s="92">
        <v>100</v>
      </c>
      <c r="P61" s="93">
        <f t="shared" si="21"/>
        <v>0.17223406676411629</v>
      </c>
      <c r="Q61" s="93">
        <f t="shared" si="18"/>
        <v>0.17167080474853519</v>
      </c>
      <c r="R61" s="93">
        <f t="shared" si="18"/>
        <v>0.17147017618298532</v>
      </c>
      <c r="S61" s="93"/>
      <c r="T61" s="91"/>
      <c r="U61" s="91"/>
      <c r="V61" s="91"/>
      <c r="W61" s="91"/>
      <c r="X61" s="91"/>
      <c r="Y61" s="91"/>
      <c r="Z61" s="91"/>
      <c r="AA61" s="92">
        <v>100</v>
      </c>
      <c r="AB61" s="93">
        <f t="shared" si="19"/>
        <v>5.6326201558110078E-4</v>
      </c>
      <c r="AC61" s="93">
        <f t="shared" si="20"/>
        <v>-2.0062856554986519E-4</v>
      </c>
      <c r="AD61" s="91"/>
      <c r="AE61" s="91"/>
      <c r="AF61" s="91"/>
      <c r="AG61" s="91"/>
      <c r="AH61" s="91"/>
      <c r="AI61" s="91"/>
      <c r="AJ61" s="91"/>
      <c r="AK61" s="86"/>
    </row>
    <row r="62" spans="9:37" x14ac:dyDescent="0.2">
      <c r="I62" s="86"/>
      <c r="J62" s="92">
        <v>105</v>
      </c>
      <c r="K62" s="93">
        <f t="shared" si="17"/>
        <v>10.193206014327059</v>
      </c>
      <c r="L62" s="93">
        <f t="shared" si="17"/>
        <v>10.223296208547175</v>
      </c>
      <c r="M62" s="93">
        <f t="shared" si="17"/>
        <v>10.273222315151045</v>
      </c>
      <c r="N62" s="94"/>
      <c r="O62" s="92">
        <v>105</v>
      </c>
      <c r="P62" s="93">
        <f t="shared" si="21"/>
        <v>0.17101455979704855</v>
      </c>
      <c r="Q62" s="93">
        <f t="shared" si="18"/>
        <v>0.17151559477090839</v>
      </c>
      <c r="R62" s="93">
        <f t="shared" si="18"/>
        <v>0.17234671916723249</v>
      </c>
      <c r="S62" s="93"/>
      <c r="T62" s="91"/>
      <c r="U62" s="91"/>
      <c r="V62" s="91"/>
      <c r="W62" s="91"/>
      <c r="X62" s="91"/>
      <c r="Y62" s="91"/>
      <c r="Z62" s="91"/>
      <c r="AA62" s="92">
        <v>105</v>
      </c>
      <c r="AB62" s="93">
        <f t="shared" si="19"/>
        <v>-5.0103497385983742E-4</v>
      </c>
      <c r="AC62" s="93">
        <f t="shared" si="20"/>
        <v>8.3112439632410107E-4</v>
      </c>
      <c r="AD62" s="91"/>
      <c r="AE62" s="91"/>
      <c r="AF62" s="91"/>
      <c r="AG62" s="91"/>
      <c r="AH62" s="91"/>
      <c r="AI62" s="91"/>
      <c r="AJ62" s="91"/>
      <c r="AK62" s="86"/>
    </row>
    <row r="63" spans="9:37" x14ac:dyDescent="0.2">
      <c r="I63" s="86"/>
      <c r="J63" s="92">
        <v>110</v>
      </c>
      <c r="K63" s="93">
        <f t="shared" si="17"/>
        <v>8.1656504565547685</v>
      </c>
      <c r="L63" s="93">
        <f t="shared" si="17"/>
        <v>8.2555988278747776</v>
      </c>
      <c r="M63" s="93">
        <f t="shared" si="17"/>
        <v>8.3657136095704185</v>
      </c>
      <c r="N63" s="94"/>
      <c r="O63" s="92">
        <v>110</v>
      </c>
      <c r="P63" s="93">
        <f t="shared" si="21"/>
        <v>0.16976894608259199</v>
      </c>
      <c r="Q63" s="93">
        <f t="shared" si="18"/>
        <v>0.17125846119046212</v>
      </c>
      <c r="R63" s="93">
        <f t="shared" si="18"/>
        <v>0.17308164198756215</v>
      </c>
      <c r="S63" s="93"/>
      <c r="T63" s="91"/>
      <c r="U63" s="91"/>
      <c r="V63" s="91"/>
      <c r="W63" s="91"/>
      <c r="X63" s="91"/>
      <c r="Y63" s="91"/>
      <c r="Z63" s="91"/>
      <c r="AA63" s="92">
        <v>110</v>
      </c>
      <c r="AB63" s="93">
        <f t="shared" si="19"/>
        <v>-1.4895151078701263E-3</v>
      </c>
      <c r="AC63" s="93">
        <f t="shared" si="20"/>
        <v>1.8231807971000324E-3</v>
      </c>
      <c r="AD63" s="91"/>
      <c r="AE63" s="91"/>
      <c r="AF63" s="91"/>
      <c r="AG63" s="91"/>
      <c r="AH63" s="91"/>
      <c r="AI63" s="91"/>
      <c r="AJ63" s="91"/>
      <c r="AK63" s="86"/>
    </row>
    <row r="64" spans="9:37" x14ac:dyDescent="0.2">
      <c r="I64" s="86"/>
      <c r="J64" s="92">
        <v>115</v>
      </c>
      <c r="K64" s="93">
        <f t="shared" si="17"/>
        <v>6.457753561089147</v>
      </c>
      <c r="L64" s="93">
        <f t="shared" si="17"/>
        <v>6.5946502279018802</v>
      </c>
      <c r="M64" s="93">
        <f t="shared" si="17"/>
        <v>6.7528481070919</v>
      </c>
      <c r="N64" s="94"/>
      <c r="O64" s="92">
        <v>115</v>
      </c>
      <c r="P64" s="93">
        <f t="shared" si="21"/>
        <v>0.16850688154101373</v>
      </c>
      <c r="Q64" s="93">
        <f t="shared" si="18"/>
        <v>0.17083324307203296</v>
      </c>
      <c r="R64" s="93">
        <f t="shared" si="18"/>
        <v>0.17351723127961155</v>
      </c>
      <c r="S64" s="93"/>
      <c r="T64" s="91"/>
      <c r="U64" s="91"/>
      <c r="V64" s="91"/>
      <c r="W64" s="91"/>
      <c r="X64" s="91"/>
      <c r="Y64" s="91"/>
      <c r="Z64" s="91"/>
      <c r="AA64" s="92">
        <v>115</v>
      </c>
      <c r="AB64" s="93">
        <f t="shared" si="19"/>
        <v>-2.3263615310192276E-3</v>
      </c>
      <c r="AC64" s="93">
        <f t="shared" si="20"/>
        <v>2.6839882075785915E-3</v>
      </c>
      <c r="AD64" s="91"/>
      <c r="AE64" s="91"/>
      <c r="AF64" s="91"/>
      <c r="AG64" s="91"/>
      <c r="AH64" s="91"/>
      <c r="AI64" s="91"/>
      <c r="AJ64" s="91"/>
      <c r="AK64" s="86"/>
    </row>
    <row r="65" spans="9:37" x14ac:dyDescent="0.2">
      <c r="I65" s="86"/>
      <c r="J65" s="92">
        <v>120</v>
      </c>
      <c r="K65" s="93">
        <f t="shared" si="17"/>
        <v>5.0365029218543231</v>
      </c>
      <c r="L65" s="93">
        <f t="shared" si="17"/>
        <v>5.2002484413411487</v>
      </c>
      <c r="M65" s="93">
        <f t="shared" si="17"/>
        <v>5.3860127544753027</v>
      </c>
      <c r="N65" s="94"/>
      <c r="O65" s="92">
        <v>120</v>
      </c>
      <c r="P65" s="93">
        <f t="shared" si="21"/>
        <v>0.16713788662314416</v>
      </c>
      <c r="Q65" s="93">
        <f t="shared" si="18"/>
        <v>0.17007614739775656</v>
      </c>
      <c r="R65" s="93">
        <f t="shared" si="18"/>
        <v>0.17339313482284543</v>
      </c>
      <c r="S65" s="93"/>
      <c r="T65" s="91"/>
      <c r="U65" s="91"/>
      <c r="V65" s="91"/>
      <c r="W65" s="91"/>
      <c r="X65" s="91"/>
      <c r="Y65" s="91"/>
      <c r="Z65" s="91"/>
      <c r="AA65" s="92">
        <v>120</v>
      </c>
      <c r="AB65" s="93">
        <f t="shared" si="19"/>
        <v>-2.9382607746124001E-3</v>
      </c>
      <c r="AC65" s="93">
        <f t="shared" si="20"/>
        <v>3.3169874250888742E-3</v>
      </c>
      <c r="AD65" s="91"/>
      <c r="AE65" s="91"/>
      <c r="AF65" s="91"/>
      <c r="AG65" s="91"/>
      <c r="AH65" s="91"/>
      <c r="AI65" s="91"/>
      <c r="AJ65" s="91"/>
      <c r="AK65" s="86"/>
    </row>
    <row r="66" spans="9:37" x14ac:dyDescent="0.2">
      <c r="I66" s="86"/>
      <c r="J66" s="87"/>
      <c r="K66" s="88"/>
      <c r="L66" s="88"/>
      <c r="M66" s="88"/>
      <c r="N66" s="86"/>
      <c r="O66" s="87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8"/>
      <c r="AB66" s="88"/>
      <c r="AC66" s="88"/>
      <c r="AD66" s="86"/>
      <c r="AE66" s="86"/>
      <c r="AF66" s="86"/>
      <c r="AG66" s="86"/>
      <c r="AH66" s="86"/>
      <c r="AI66" s="86"/>
      <c r="AJ66" s="86"/>
      <c r="AK66" s="86"/>
    </row>
    <row r="67" spans="9:37" x14ac:dyDescent="0.2">
      <c r="I67" s="86"/>
      <c r="J67" s="95"/>
      <c r="K67" s="95"/>
      <c r="L67" s="95"/>
      <c r="M67" s="95"/>
      <c r="N67" s="86"/>
      <c r="O67" s="95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8"/>
      <c r="AB67" s="88"/>
      <c r="AC67" s="88"/>
      <c r="AD67" s="86"/>
      <c r="AE67" s="86"/>
      <c r="AF67" s="86"/>
      <c r="AG67" s="86"/>
      <c r="AH67" s="86"/>
      <c r="AI67" s="86"/>
      <c r="AJ67" s="86"/>
      <c r="AK67" s="86"/>
    </row>
    <row r="68" spans="9:37" x14ac:dyDescent="0.2">
      <c r="I68" s="86"/>
      <c r="J68" s="87"/>
      <c r="K68" s="88"/>
      <c r="L68" s="88"/>
      <c r="M68" s="88"/>
      <c r="N68" s="86"/>
      <c r="O68" s="87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8"/>
      <c r="AB68" s="88"/>
      <c r="AC68" s="88"/>
      <c r="AD68" s="86"/>
      <c r="AE68" s="86"/>
      <c r="AF68" s="86"/>
      <c r="AG68" s="86"/>
      <c r="AH68" s="86"/>
      <c r="AI68" s="86"/>
      <c r="AJ68" s="86"/>
      <c r="AK68" s="86"/>
    </row>
    <row r="69" spans="9:37" x14ac:dyDescent="0.2">
      <c r="I69" s="86"/>
      <c r="J69" s="89" t="s">
        <v>20</v>
      </c>
      <c r="K69" s="90">
        <v>0.01</v>
      </c>
      <c r="L69" s="90">
        <v>0.1</v>
      </c>
      <c r="M69" s="90">
        <v>0.3</v>
      </c>
      <c r="N69" s="96"/>
      <c r="O69" s="89" t="s">
        <v>20</v>
      </c>
      <c r="P69" s="90">
        <v>0.01</v>
      </c>
      <c r="Q69" s="90">
        <v>0.1</v>
      </c>
      <c r="R69" s="90">
        <v>0.3</v>
      </c>
      <c r="S69" s="92"/>
      <c r="T69" s="91"/>
      <c r="U69" s="91"/>
      <c r="V69" s="91"/>
      <c r="W69" s="91"/>
      <c r="X69" s="91"/>
      <c r="Y69" s="91"/>
      <c r="Z69" s="91"/>
      <c r="AA69" s="89" t="s">
        <v>20</v>
      </c>
      <c r="AB69" s="90">
        <v>0.1</v>
      </c>
      <c r="AC69" s="90">
        <v>0.3</v>
      </c>
      <c r="AD69" s="91"/>
      <c r="AE69" s="91"/>
      <c r="AF69" s="91"/>
      <c r="AG69" s="91"/>
      <c r="AH69" s="91"/>
      <c r="AI69" s="91"/>
      <c r="AJ69" s="91"/>
      <c r="AK69" s="86"/>
    </row>
    <row r="70" spans="9:37" ht="17" thickBot="1" x14ac:dyDescent="0.25">
      <c r="I70" s="86"/>
      <c r="J70" s="89" t="s">
        <v>19</v>
      </c>
      <c r="K70" s="156" t="s">
        <v>38</v>
      </c>
      <c r="L70" s="156"/>
      <c r="M70" s="156"/>
      <c r="N70" s="91"/>
      <c r="O70" s="89" t="s">
        <v>19</v>
      </c>
      <c r="P70" s="156" t="s">
        <v>39</v>
      </c>
      <c r="Q70" s="156"/>
      <c r="R70" s="156"/>
      <c r="S70" s="92"/>
      <c r="T70" s="91"/>
      <c r="U70" s="91"/>
      <c r="V70" s="91"/>
      <c r="W70" s="91"/>
      <c r="X70" s="91"/>
      <c r="Y70" s="91"/>
      <c r="Z70" s="91"/>
      <c r="AA70" s="89" t="s">
        <v>19</v>
      </c>
      <c r="AB70" s="156" t="s">
        <v>44</v>
      </c>
      <c r="AC70" s="156"/>
      <c r="AD70" s="91"/>
      <c r="AE70" s="91"/>
      <c r="AF70" s="91"/>
      <c r="AG70" s="91"/>
      <c r="AH70" s="91"/>
      <c r="AI70" s="91"/>
      <c r="AJ70" s="91"/>
      <c r="AK70" s="86"/>
    </row>
    <row r="71" spans="9:37" ht="17" thickTop="1" x14ac:dyDescent="0.2">
      <c r="I71" s="86"/>
      <c r="J71" s="92">
        <v>80</v>
      </c>
      <c r="K71" s="93">
        <f t="shared" ref="K71:M79" si="22">HestonSVGL10($B$10,$B$11,$B$12,$B$13,K$69,$B$15,$J71,$B$17,$B$18,$B$19,$B$20)</f>
        <v>24.971243905908384</v>
      </c>
      <c r="L71" s="93">
        <f t="shared" si="22"/>
        <v>25.004970974325282</v>
      </c>
      <c r="M71" s="93">
        <f t="shared" si="22"/>
        <v>25.221742145787353</v>
      </c>
      <c r="N71" s="91"/>
      <c r="O71" s="92">
        <v>80</v>
      </c>
      <c r="P71" s="93">
        <f>IVol_BisNewt($B$17,$O71,$B$18,$B$15,$B$22,$B$23,$B$20,K71)</f>
        <v>0.15830772635221482</v>
      </c>
      <c r="Q71" s="93">
        <f t="shared" ref="Q71:R79" si="23">IVol_BisNewt($B$17,$O71,$B$18,$B$15,$B$22,$B$23,$B$20,L71)</f>
        <v>0.15950577571868896</v>
      </c>
      <c r="R71" s="93">
        <f t="shared" si="23"/>
        <v>0.16696586819171907</v>
      </c>
      <c r="S71" s="93"/>
      <c r="T71" s="91"/>
      <c r="U71" s="91"/>
      <c r="V71" s="91"/>
      <c r="W71" s="91"/>
      <c r="X71" s="91"/>
      <c r="Y71" s="91"/>
      <c r="Z71" s="91"/>
      <c r="AA71" s="92">
        <v>80</v>
      </c>
      <c r="AB71" s="93">
        <f>Q71-P71</f>
        <v>1.1980493664741354E-3</v>
      </c>
      <c r="AC71" s="93">
        <f>R71-P71</f>
        <v>8.658141839504252E-3</v>
      </c>
      <c r="AD71" s="91"/>
      <c r="AE71" s="91"/>
      <c r="AF71" s="91"/>
      <c r="AG71" s="91"/>
      <c r="AH71" s="91"/>
      <c r="AI71" s="91"/>
      <c r="AJ71" s="91"/>
      <c r="AK71" s="86"/>
    </row>
    <row r="72" spans="9:37" x14ac:dyDescent="0.2">
      <c r="I72" s="86"/>
      <c r="J72" s="92">
        <v>85</v>
      </c>
      <c r="K72" s="93">
        <f t="shared" si="22"/>
        <v>21.441754629556321</v>
      </c>
      <c r="L72" s="93">
        <f t="shared" si="22"/>
        <v>21.454498777591908</v>
      </c>
      <c r="M72" s="93">
        <f t="shared" si="22"/>
        <v>21.554923320743498</v>
      </c>
      <c r="N72" s="91"/>
      <c r="O72" s="92">
        <v>85</v>
      </c>
      <c r="P72" s="93">
        <f t="shared" ref="P72:P79" si="24">IVol_BisNewt($B$17,$O72,$B$18,$B$15,$B$22,$B$23,$B$20,K72)</f>
        <v>0.16701915456652644</v>
      </c>
      <c r="Q72" s="93">
        <f t="shared" si="23"/>
        <v>0.16734960161566736</v>
      </c>
      <c r="R72" s="93">
        <f t="shared" si="23"/>
        <v>0.1699391763806343</v>
      </c>
      <c r="S72" s="93"/>
      <c r="T72" s="91"/>
      <c r="U72" s="91"/>
      <c r="V72" s="91"/>
      <c r="W72" s="91"/>
      <c r="X72" s="91"/>
      <c r="Y72" s="91"/>
      <c r="Z72" s="91"/>
      <c r="AA72" s="92">
        <v>85</v>
      </c>
      <c r="AB72" s="93">
        <f t="shared" ref="AB72:AB79" si="25">Q72-P72</f>
        <v>3.3044704914092504E-4</v>
      </c>
      <c r="AC72" s="93">
        <f t="shared" ref="AC72:AC79" si="26">R72-P72</f>
        <v>2.9200218141078593E-3</v>
      </c>
      <c r="AD72" s="91"/>
      <c r="AE72" s="91"/>
      <c r="AF72" s="91"/>
      <c r="AG72" s="91"/>
      <c r="AH72" s="91"/>
      <c r="AI72" s="91"/>
      <c r="AJ72" s="91"/>
      <c r="AK72" s="86"/>
    </row>
    <row r="73" spans="9:37" x14ac:dyDescent="0.2">
      <c r="I73" s="86"/>
      <c r="J73" s="92">
        <v>90</v>
      </c>
      <c r="K73" s="93">
        <f t="shared" si="22"/>
        <v>18.200993688580123</v>
      </c>
      <c r="L73" s="93">
        <f t="shared" si="22"/>
        <v>18.194960426965672</v>
      </c>
      <c r="M73" s="93">
        <f t="shared" si="22"/>
        <v>18.18253283785263</v>
      </c>
      <c r="N73" s="91"/>
      <c r="O73" s="92">
        <v>90</v>
      </c>
      <c r="P73" s="93">
        <f t="shared" si="24"/>
        <v>0.17119373076200484</v>
      </c>
      <c r="Q73" s="93">
        <f t="shared" si="23"/>
        <v>0.17106534278511998</v>
      </c>
      <c r="R73" s="93">
        <f t="shared" si="23"/>
        <v>0.17080034141778949</v>
      </c>
      <c r="S73" s="93"/>
      <c r="T73" s="91"/>
      <c r="U73" s="91"/>
      <c r="V73" s="91"/>
      <c r="W73" s="91"/>
      <c r="X73" s="91"/>
      <c r="Y73" s="91"/>
      <c r="Z73" s="91"/>
      <c r="AA73" s="92">
        <v>90</v>
      </c>
      <c r="AB73" s="93">
        <f t="shared" si="25"/>
        <v>-1.2838797688485837E-4</v>
      </c>
      <c r="AC73" s="93">
        <f t="shared" si="26"/>
        <v>-3.9338934421534466E-4</v>
      </c>
      <c r="AD73" s="91"/>
      <c r="AE73" s="91"/>
      <c r="AF73" s="91"/>
      <c r="AG73" s="91"/>
      <c r="AH73" s="91"/>
      <c r="AI73" s="91"/>
      <c r="AJ73" s="91"/>
      <c r="AK73" s="86"/>
    </row>
    <row r="74" spans="9:37" x14ac:dyDescent="0.2">
      <c r="I74" s="86"/>
      <c r="J74" s="92">
        <v>95</v>
      </c>
      <c r="K74" s="93">
        <f t="shared" si="22"/>
        <v>15.267961456239583</v>
      </c>
      <c r="L74" s="93">
        <f t="shared" si="22"/>
        <v>15.248886717499937</v>
      </c>
      <c r="M74" s="93">
        <f t="shared" si="22"/>
        <v>15.149128446086596</v>
      </c>
      <c r="N74" s="91"/>
      <c r="O74" s="92">
        <v>95</v>
      </c>
      <c r="P74" s="93">
        <f t="shared" si="24"/>
        <v>0.17313457073569299</v>
      </c>
      <c r="Q74" s="93">
        <f t="shared" si="23"/>
        <v>0.17277694405913352</v>
      </c>
      <c r="R74" s="93">
        <f t="shared" si="23"/>
        <v>0.17090512603402142</v>
      </c>
      <c r="S74" s="93"/>
      <c r="T74" s="91"/>
      <c r="U74" s="91"/>
      <c r="V74" s="91"/>
      <c r="W74" s="91"/>
      <c r="X74" s="91"/>
      <c r="Y74" s="91"/>
      <c r="Z74" s="91"/>
      <c r="AA74" s="92">
        <v>95</v>
      </c>
      <c r="AB74" s="93">
        <f t="shared" si="25"/>
        <v>-3.5762667655947489E-4</v>
      </c>
      <c r="AC74" s="93">
        <f t="shared" si="26"/>
        <v>-2.229444701671579E-3</v>
      </c>
      <c r="AD74" s="91"/>
      <c r="AE74" s="91"/>
      <c r="AF74" s="91"/>
      <c r="AG74" s="91"/>
      <c r="AH74" s="91"/>
      <c r="AI74" s="91"/>
      <c r="AJ74" s="91"/>
      <c r="AK74" s="86"/>
    </row>
    <row r="75" spans="9:37" x14ac:dyDescent="0.2">
      <c r="I75" s="86"/>
      <c r="J75" s="92">
        <v>100</v>
      </c>
      <c r="K75" s="93">
        <f t="shared" si="22"/>
        <v>12.657441157881332</v>
      </c>
      <c r="L75" s="93">
        <f t="shared" si="22"/>
        <v>12.632251788914878</v>
      </c>
      <c r="M75" s="93">
        <f t="shared" si="22"/>
        <v>12.480520698483929</v>
      </c>
      <c r="N75" s="91"/>
      <c r="O75" s="92">
        <v>100</v>
      </c>
      <c r="P75" s="93">
        <f t="shared" si="24"/>
        <v>0.17389506386339665</v>
      </c>
      <c r="Q75" s="93">
        <f t="shared" si="23"/>
        <v>0.17345858050465579</v>
      </c>
      <c r="R75" s="93">
        <f t="shared" si="23"/>
        <v>0.17083002443194389</v>
      </c>
      <c r="S75" s="93"/>
      <c r="T75" s="91"/>
      <c r="U75" s="91"/>
      <c r="V75" s="91"/>
      <c r="W75" s="91"/>
      <c r="X75" s="91"/>
      <c r="Y75" s="91"/>
      <c r="Z75" s="91"/>
      <c r="AA75" s="92">
        <v>100</v>
      </c>
      <c r="AB75" s="93">
        <f t="shared" si="25"/>
        <v>-4.3648335874085786E-4</v>
      </c>
      <c r="AC75" s="93">
        <f t="shared" si="26"/>
        <v>-3.065039431452754E-3</v>
      </c>
      <c r="AD75" s="91"/>
      <c r="AE75" s="91"/>
      <c r="AF75" s="91"/>
      <c r="AG75" s="91"/>
      <c r="AH75" s="91"/>
      <c r="AI75" s="91"/>
      <c r="AJ75" s="91"/>
      <c r="AK75" s="86"/>
    </row>
    <row r="76" spans="9:37" x14ac:dyDescent="0.2">
      <c r="I76" s="86"/>
      <c r="J76" s="92">
        <v>105</v>
      </c>
      <c r="K76" s="93">
        <f t="shared" si="22"/>
        <v>10.369645242275833</v>
      </c>
      <c r="L76" s="93">
        <f t="shared" si="22"/>
        <v>10.34502368576412</v>
      </c>
      <c r="M76" s="93">
        <f t="shared" si="22"/>
        <v>10.179056487071668</v>
      </c>
      <c r="N76" s="91"/>
      <c r="O76" s="92">
        <v>105</v>
      </c>
      <c r="P76" s="93">
        <f t="shared" si="24"/>
        <v>0.17395210531830785</v>
      </c>
      <c r="Q76" s="93">
        <f t="shared" si="23"/>
        <v>0.17354190752029416</v>
      </c>
      <c r="R76" s="93">
        <f t="shared" si="23"/>
        <v>0.17077906263053419</v>
      </c>
      <c r="S76" s="93"/>
      <c r="T76" s="91"/>
      <c r="U76" s="91"/>
      <c r="V76" s="91"/>
      <c r="W76" s="91"/>
      <c r="X76" s="91"/>
      <c r="Y76" s="91"/>
      <c r="Z76" s="91"/>
      <c r="AA76" s="92">
        <v>105</v>
      </c>
      <c r="AB76" s="93">
        <f t="shared" si="25"/>
        <v>-4.1019779801368395E-4</v>
      </c>
      <c r="AC76" s="93">
        <f t="shared" si="26"/>
        <v>-3.1730426877736584E-3</v>
      </c>
      <c r="AD76" s="91"/>
      <c r="AE76" s="91"/>
      <c r="AF76" s="91"/>
      <c r="AG76" s="91"/>
      <c r="AH76" s="91"/>
      <c r="AI76" s="91"/>
      <c r="AJ76" s="91"/>
      <c r="AK76" s="86"/>
    </row>
    <row r="77" spans="9:37" x14ac:dyDescent="0.2">
      <c r="I77" s="86"/>
      <c r="J77" s="92">
        <v>110</v>
      </c>
      <c r="K77" s="93">
        <f t="shared" si="22"/>
        <v>8.3889577013860617</v>
      </c>
      <c r="L77" s="93">
        <f t="shared" si="22"/>
        <v>8.3705742406264854</v>
      </c>
      <c r="M77" s="93">
        <f t="shared" si="22"/>
        <v>8.2260023210628503</v>
      </c>
      <c r="N77" s="91"/>
      <c r="O77" s="92">
        <v>110</v>
      </c>
      <c r="P77" s="93">
        <f t="shared" si="24"/>
        <v>0.17346644829154012</v>
      </c>
      <c r="Q77" s="93">
        <f t="shared" si="23"/>
        <v>0.17316210798978804</v>
      </c>
      <c r="R77" s="93">
        <f t="shared" si="23"/>
        <v>0.17076851264357568</v>
      </c>
      <c r="S77" s="93"/>
      <c r="T77" s="91"/>
      <c r="U77" s="91"/>
      <c r="V77" s="91"/>
      <c r="W77" s="91"/>
      <c r="X77" s="91"/>
      <c r="Y77" s="91"/>
      <c r="Z77" s="91"/>
      <c r="AA77" s="92">
        <v>110</v>
      </c>
      <c r="AB77" s="93">
        <f t="shared" si="25"/>
        <v>-3.0434030175208182E-4</v>
      </c>
      <c r="AC77" s="93">
        <f t="shared" si="26"/>
        <v>-2.6979356479644445E-3</v>
      </c>
      <c r="AD77" s="91"/>
      <c r="AE77" s="91"/>
      <c r="AF77" s="91"/>
      <c r="AG77" s="91"/>
      <c r="AH77" s="91"/>
      <c r="AI77" s="91"/>
      <c r="AJ77" s="91"/>
      <c r="AK77" s="86"/>
    </row>
    <row r="78" spans="9:37" x14ac:dyDescent="0.2">
      <c r="I78" s="86"/>
      <c r="J78" s="92">
        <v>115</v>
      </c>
      <c r="K78" s="93">
        <f t="shared" si="22"/>
        <v>6.6874738593976666</v>
      </c>
      <c r="L78" s="93">
        <f t="shared" si="22"/>
        <v>6.6795931801951252</v>
      </c>
      <c r="M78" s="93">
        <f t="shared" si="22"/>
        <v>6.587120732353398</v>
      </c>
      <c r="N78" s="91"/>
      <c r="O78" s="92">
        <v>115</v>
      </c>
      <c r="P78" s="93">
        <f t="shared" si="24"/>
        <v>0.17240858858227726</v>
      </c>
      <c r="Q78" s="93">
        <f t="shared" si="23"/>
        <v>0.17227483620524409</v>
      </c>
      <c r="R78" s="93">
        <f t="shared" si="23"/>
        <v>0.17070521272182465</v>
      </c>
      <c r="S78" s="93"/>
      <c r="T78" s="91"/>
      <c r="U78" s="91"/>
      <c r="V78" s="91"/>
      <c r="W78" s="91"/>
      <c r="X78" s="91"/>
      <c r="Y78" s="91"/>
      <c r="Z78" s="91"/>
      <c r="AA78" s="92">
        <v>115</v>
      </c>
      <c r="AB78" s="93">
        <f t="shared" si="25"/>
        <v>-1.3375237703316945E-4</v>
      </c>
      <c r="AC78" s="93">
        <f t="shared" si="26"/>
        <v>-1.703375860452605E-3</v>
      </c>
      <c r="AD78" s="91"/>
      <c r="AE78" s="91"/>
      <c r="AF78" s="91"/>
      <c r="AG78" s="91"/>
      <c r="AH78" s="91"/>
      <c r="AI78" s="91"/>
      <c r="AJ78" s="91"/>
      <c r="AK78" s="86"/>
    </row>
    <row r="79" spans="9:37" x14ac:dyDescent="0.2">
      <c r="I79" s="86"/>
      <c r="J79" s="92">
        <v>120</v>
      </c>
      <c r="K79" s="93">
        <f t="shared" si="22"/>
        <v>5.2304096740992705</v>
      </c>
      <c r="L79" s="93">
        <f t="shared" si="22"/>
        <v>5.2356767439992051</v>
      </c>
      <c r="M79" s="93">
        <f t="shared" si="22"/>
        <v>5.2191244939245145</v>
      </c>
      <c r="N79" s="91"/>
      <c r="O79" s="92">
        <v>120</v>
      </c>
      <c r="P79" s="93">
        <f t="shared" si="24"/>
        <v>0.17061580605268478</v>
      </c>
      <c r="Q79" s="93">
        <f t="shared" si="23"/>
        <v>0.17071021949529647</v>
      </c>
      <c r="R79" s="93">
        <f t="shared" si="23"/>
        <v>0.17041410460710524</v>
      </c>
      <c r="S79" s="93"/>
      <c r="T79" s="91"/>
      <c r="U79" s="91"/>
      <c r="V79" s="91"/>
      <c r="W79" s="91"/>
      <c r="X79" s="91"/>
      <c r="Y79" s="91"/>
      <c r="Z79" s="91"/>
      <c r="AA79" s="92">
        <v>120</v>
      </c>
      <c r="AB79" s="93">
        <f t="shared" si="25"/>
        <v>9.4413442611684939E-5</v>
      </c>
      <c r="AC79" s="93">
        <f t="shared" si="26"/>
        <v>-2.0170144557954406E-4</v>
      </c>
      <c r="AD79" s="91"/>
      <c r="AE79" s="91"/>
      <c r="AF79" s="91"/>
      <c r="AG79" s="91"/>
      <c r="AH79" s="91"/>
      <c r="AI79" s="91"/>
      <c r="AJ79" s="91"/>
      <c r="AK79" s="86"/>
    </row>
    <row r="80" spans="9:37" x14ac:dyDescent="0.2">
      <c r="I80" s="86"/>
      <c r="J80" s="87"/>
      <c r="K80" s="88"/>
      <c r="L80" s="88"/>
      <c r="M80" s="88"/>
      <c r="N80" s="86"/>
      <c r="O80" s="87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8"/>
      <c r="AB80" s="88"/>
      <c r="AC80" s="88"/>
      <c r="AD80" s="86"/>
      <c r="AE80" s="86"/>
      <c r="AF80" s="86"/>
      <c r="AG80" s="86"/>
      <c r="AH80" s="86"/>
      <c r="AI80" s="86"/>
      <c r="AJ80" s="86"/>
      <c r="AK80" s="86"/>
    </row>
    <row r="81" spans="9:37" x14ac:dyDescent="0.2">
      <c r="I81" s="86"/>
      <c r="J81" s="95"/>
      <c r="K81" s="95"/>
      <c r="L81" s="95"/>
      <c r="M81" s="95"/>
      <c r="N81" s="86"/>
      <c r="O81" s="95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8"/>
      <c r="AB81" s="88"/>
      <c r="AC81" s="88"/>
      <c r="AD81" s="86"/>
      <c r="AE81" s="86"/>
      <c r="AF81" s="86"/>
      <c r="AG81" s="86"/>
      <c r="AH81" s="86"/>
      <c r="AI81" s="86"/>
      <c r="AJ81" s="86"/>
      <c r="AK81" s="86"/>
    </row>
    <row r="82" spans="9:37" x14ac:dyDescent="0.2">
      <c r="I82" s="86"/>
      <c r="J82" s="87"/>
      <c r="K82" s="88"/>
      <c r="L82" s="88"/>
      <c r="M82" s="88"/>
      <c r="N82" s="86"/>
      <c r="O82" s="87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8"/>
      <c r="AB82" s="88"/>
      <c r="AC82" s="88"/>
      <c r="AD82" s="86"/>
      <c r="AE82" s="86"/>
      <c r="AF82" s="86"/>
      <c r="AG82" s="86"/>
      <c r="AH82" s="86"/>
      <c r="AI82" s="86"/>
      <c r="AJ82" s="86"/>
      <c r="AK82" s="86"/>
    </row>
    <row r="83" spans="9:37" x14ac:dyDescent="0.2">
      <c r="I83" s="86"/>
      <c r="J83" s="97" t="s">
        <v>21</v>
      </c>
      <c r="K83" s="98">
        <v>0</v>
      </c>
      <c r="L83" s="98">
        <v>0.05</v>
      </c>
      <c r="M83" s="98">
        <v>0.1</v>
      </c>
      <c r="N83" s="96"/>
      <c r="O83" s="97" t="s">
        <v>21</v>
      </c>
      <c r="P83" s="98">
        <v>0</v>
      </c>
      <c r="Q83" s="98">
        <v>0.05</v>
      </c>
      <c r="R83" s="98">
        <v>0.1</v>
      </c>
      <c r="S83" s="99"/>
      <c r="T83" s="91"/>
      <c r="U83" s="91"/>
      <c r="V83" s="91"/>
      <c r="W83" s="91"/>
      <c r="X83" s="91"/>
      <c r="Y83" s="91"/>
      <c r="Z83" s="91"/>
      <c r="AA83" s="97" t="s">
        <v>21</v>
      </c>
      <c r="AB83" s="98">
        <v>0.05</v>
      </c>
      <c r="AC83" s="98">
        <v>0.1</v>
      </c>
      <c r="AD83" s="91"/>
      <c r="AE83" s="91"/>
      <c r="AF83" s="91"/>
      <c r="AG83" s="91"/>
      <c r="AH83" s="91"/>
      <c r="AI83" s="91"/>
      <c r="AJ83" s="91"/>
      <c r="AK83" s="86"/>
    </row>
    <row r="84" spans="9:37" ht="17" thickBot="1" x14ac:dyDescent="0.25">
      <c r="I84" s="86"/>
      <c r="J84" s="89" t="s">
        <v>19</v>
      </c>
      <c r="K84" s="156" t="s">
        <v>38</v>
      </c>
      <c r="L84" s="156"/>
      <c r="M84" s="156"/>
      <c r="N84" s="91"/>
      <c r="O84" s="89" t="s">
        <v>19</v>
      </c>
      <c r="P84" s="156" t="s">
        <v>39</v>
      </c>
      <c r="Q84" s="156"/>
      <c r="R84" s="156"/>
      <c r="S84" s="92"/>
      <c r="T84" s="91"/>
      <c r="U84" s="91"/>
      <c r="V84" s="91"/>
      <c r="W84" s="91"/>
      <c r="X84" s="91"/>
      <c r="Y84" s="91"/>
      <c r="Z84" s="91"/>
      <c r="AA84" s="89" t="s">
        <v>19</v>
      </c>
      <c r="AB84" s="156" t="s">
        <v>45</v>
      </c>
      <c r="AC84" s="156"/>
      <c r="AD84" s="91"/>
      <c r="AE84" s="91"/>
      <c r="AF84" s="91"/>
      <c r="AG84" s="91"/>
      <c r="AH84" s="91"/>
      <c r="AI84" s="91"/>
      <c r="AJ84" s="91"/>
      <c r="AK84" s="86"/>
    </row>
    <row r="85" spans="9:37" ht="17" thickTop="1" x14ac:dyDescent="0.2">
      <c r="I85" s="86"/>
      <c r="J85" s="99">
        <v>80</v>
      </c>
      <c r="K85" s="93">
        <f t="shared" ref="K85:M93" si="27">HestonSVGL10($B$10,$B$11,K$83,$B$13,$B$14,$B$15,$J85,$B$17,$B$18,$B$19,$B$20)</f>
        <v>25.17346949111429</v>
      </c>
      <c r="L85" s="93">
        <f t="shared" si="27"/>
        <v>25.131422354603728</v>
      </c>
      <c r="M85" s="93">
        <f t="shared" si="27"/>
        <v>25.091460783576288</v>
      </c>
      <c r="N85" s="91"/>
      <c r="O85" s="99">
        <v>80</v>
      </c>
      <c r="P85" s="93">
        <f>IVol_BisNewt($B$17,$O85,$B$18,$B$15,$B$22,$B$23,$B$20,K85)</f>
        <v>0.16533866681337356</v>
      </c>
      <c r="Q85" s="93">
        <f t="shared" ref="Q85:R93" si="28">IVol_BisNewt($B$17,$O85,$B$18,$B$15,$B$22,$B$23,$B$20,L85)</f>
        <v>0.16390601434707641</v>
      </c>
      <c r="R85" s="93">
        <f t="shared" si="28"/>
        <v>0.16253058214902877</v>
      </c>
      <c r="S85" s="93"/>
      <c r="T85" s="91"/>
      <c r="U85" s="91"/>
      <c r="V85" s="91"/>
      <c r="W85" s="91"/>
      <c r="X85" s="91"/>
      <c r="Y85" s="91"/>
      <c r="Z85" s="91"/>
      <c r="AA85" s="92">
        <v>80</v>
      </c>
      <c r="AB85" s="93">
        <f>Q85-P85</f>
        <v>-1.4326524662971463E-3</v>
      </c>
      <c r="AC85" s="93">
        <f>R85-P85</f>
        <v>-2.8080846643447899E-3</v>
      </c>
      <c r="AD85" s="91"/>
      <c r="AE85" s="91"/>
      <c r="AF85" s="91"/>
      <c r="AG85" s="91"/>
      <c r="AH85" s="91"/>
      <c r="AI85" s="91"/>
      <c r="AJ85" s="91"/>
      <c r="AK85" s="86"/>
    </row>
    <row r="86" spans="9:37" x14ac:dyDescent="0.2">
      <c r="I86" s="86"/>
      <c r="J86" s="99">
        <v>85</v>
      </c>
      <c r="K86" s="93">
        <f t="shared" si="27"/>
        <v>21.543780054509739</v>
      </c>
      <c r="L86" s="93">
        <f t="shared" si="27"/>
        <v>21.496236274123802</v>
      </c>
      <c r="M86" s="93">
        <f t="shared" si="27"/>
        <v>21.450584480451688</v>
      </c>
      <c r="N86" s="91"/>
      <c r="O86" s="99">
        <v>85</v>
      </c>
      <c r="P86" s="93">
        <f t="shared" ref="P86:P93" si="29">IVol_BisNewt($B$17,$O86,$B$18,$B$15,$B$22,$B$23,$B$20,K86)</f>
        <v>0.16965307503938673</v>
      </c>
      <c r="Q86" s="93">
        <f t="shared" si="28"/>
        <v>0.1684292765522003</v>
      </c>
      <c r="R86" s="93">
        <f t="shared" si="28"/>
        <v>0.167248393266201</v>
      </c>
      <c r="S86" s="93"/>
      <c r="T86" s="91"/>
      <c r="U86" s="91"/>
      <c r="V86" s="91"/>
      <c r="W86" s="91"/>
      <c r="X86" s="91"/>
      <c r="Y86" s="91"/>
      <c r="Z86" s="91"/>
      <c r="AA86" s="92">
        <v>85</v>
      </c>
      <c r="AB86" s="93">
        <f t="shared" ref="AB86:AB93" si="30">Q86-P86</f>
        <v>-1.2237984871864283E-3</v>
      </c>
      <c r="AC86" s="93">
        <f t="shared" ref="AC86:AC93" si="31">R86-P86</f>
        <v>-2.4046817731857295E-3</v>
      </c>
      <c r="AD86" s="91"/>
      <c r="AE86" s="91"/>
      <c r="AF86" s="91"/>
      <c r="AG86" s="91"/>
      <c r="AH86" s="91"/>
      <c r="AI86" s="91"/>
      <c r="AJ86" s="91"/>
      <c r="AK86" s="86"/>
    </row>
    <row r="87" spans="9:37" x14ac:dyDescent="0.2">
      <c r="I87" s="86"/>
      <c r="J87" s="99">
        <v>90</v>
      </c>
      <c r="K87" s="93">
        <f t="shared" si="27"/>
        <v>18.208254940294339</v>
      </c>
      <c r="L87" s="93">
        <f t="shared" si="27"/>
        <v>18.152723829856686</v>
      </c>
      <c r="M87" s="93">
        <f t="shared" si="27"/>
        <v>18.098939635743072</v>
      </c>
      <c r="N87" s="91"/>
      <c r="O87" s="99">
        <v>90</v>
      </c>
      <c r="P87" s="93">
        <f t="shared" si="29"/>
        <v>0.17134858311295509</v>
      </c>
      <c r="Q87" s="93">
        <f t="shared" si="28"/>
        <v>0.17016412356019023</v>
      </c>
      <c r="R87" s="93">
        <f t="shared" si="28"/>
        <v>0.16901471142172814</v>
      </c>
      <c r="S87" s="93"/>
      <c r="T87" s="91"/>
      <c r="U87" s="91"/>
      <c r="V87" s="91"/>
      <c r="W87" s="91"/>
      <c r="X87" s="91"/>
      <c r="Y87" s="91"/>
      <c r="Z87" s="91"/>
      <c r="AA87" s="92">
        <v>90</v>
      </c>
      <c r="AB87" s="93">
        <f t="shared" si="30"/>
        <v>-1.1844595527648605E-3</v>
      </c>
      <c r="AC87" s="93">
        <f t="shared" si="31"/>
        <v>-2.3338716912269519E-3</v>
      </c>
      <c r="AD87" s="91"/>
      <c r="AE87" s="91"/>
      <c r="AF87" s="91"/>
      <c r="AG87" s="91"/>
      <c r="AH87" s="91"/>
      <c r="AI87" s="91"/>
      <c r="AJ87" s="91"/>
      <c r="AK87" s="86"/>
    </row>
    <row r="88" spans="9:37" x14ac:dyDescent="0.2">
      <c r="I88" s="86"/>
      <c r="J88" s="99">
        <v>95</v>
      </c>
      <c r="K88" s="93">
        <f t="shared" si="27"/>
        <v>15.204189562207317</v>
      </c>
      <c r="L88" s="93">
        <f t="shared" si="27"/>
        <v>15.140926702441609</v>
      </c>
      <c r="M88" s="93">
        <f t="shared" si="27"/>
        <v>15.079321769610946</v>
      </c>
      <c r="N88" s="91"/>
      <c r="O88" s="99">
        <v>95</v>
      </c>
      <c r="P88" s="93">
        <f t="shared" si="29"/>
        <v>0.17193866712927819</v>
      </c>
      <c r="Q88" s="93">
        <f t="shared" si="28"/>
        <v>0.17075098893642426</v>
      </c>
      <c r="R88" s="93">
        <f t="shared" si="28"/>
        <v>0.16959370901107787</v>
      </c>
      <c r="S88" s="93"/>
      <c r="T88" s="91"/>
      <c r="U88" s="91"/>
      <c r="V88" s="91"/>
      <c r="W88" s="91"/>
      <c r="X88" s="91"/>
      <c r="Y88" s="91"/>
      <c r="Z88" s="91"/>
      <c r="AA88" s="92">
        <v>95</v>
      </c>
      <c r="AB88" s="93">
        <f t="shared" si="30"/>
        <v>-1.1876781928539248E-3</v>
      </c>
      <c r="AC88" s="93">
        <f t="shared" si="31"/>
        <v>-2.3449581182003187E-3</v>
      </c>
      <c r="AD88" s="91"/>
      <c r="AE88" s="91"/>
      <c r="AF88" s="91"/>
      <c r="AG88" s="91"/>
      <c r="AH88" s="91"/>
      <c r="AI88" s="91"/>
      <c r="AJ88" s="91"/>
      <c r="AK88" s="86"/>
    </row>
    <row r="89" spans="9:37" x14ac:dyDescent="0.2">
      <c r="I89" s="86"/>
      <c r="J89" s="99">
        <v>100</v>
      </c>
      <c r="K89" s="93">
        <f t="shared" si="27"/>
        <v>12.553848376209116</v>
      </c>
      <c r="L89" s="93">
        <f t="shared" si="27"/>
        <v>12.484858616607802</v>
      </c>
      <c r="M89" s="93">
        <f t="shared" si="27"/>
        <v>12.417489272478317</v>
      </c>
      <c r="N89" s="91"/>
      <c r="O89" s="99">
        <v>100</v>
      </c>
      <c r="P89" s="93">
        <f t="shared" si="29"/>
        <v>0.17210067201375961</v>
      </c>
      <c r="Q89" s="93">
        <f t="shared" si="28"/>
        <v>0.17090512603402142</v>
      </c>
      <c r="R89" s="93">
        <f t="shared" si="28"/>
        <v>0.16973783256173131</v>
      </c>
      <c r="S89" s="93"/>
      <c r="T89" s="91"/>
      <c r="U89" s="91"/>
      <c r="V89" s="91"/>
      <c r="W89" s="91"/>
      <c r="X89" s="91"/>
      <c r="Y89" s="91"/>
      <c r="Z89" s="91"/>
      <c r="AA89" s="92">
        <v>100</v>
      </c>
      <c r="AB89" s="93">
        <f t="shared" si="30"/>
        <v>-1.1955459797381995E-3</v>
      </c>
      <c r="AC89" s="93">
        <f t="shared" si="31"/>
        <v>-2.3628394520283091E-3</v>
      </c>
      <c r="AD89" s="91"/>
      <c r="AE89" s="91"/>
      <c r="AF89" s="91"/>
      <c r="AG89" s="91"/>
      <c r="AH89" s="91"/>
      <c r="AI89" s="91"/>
      <c r="AJ89" s="91"/>
      <c r="AK89" s="86"/>
    </row>
    <row r="90" spans="9:37" x14ac:dyDescent="0.2">
      <c r="I90" s="86"/>
      <c r="J90" s="99">
        <v>105</v>
      </c>
      <c r="K90" s="93">
        <f t="shared" si="27"/>
        <v>10.258413506236915</v>
      </c>
      <c r="L90" s="93">
        <f t="shared" si="27"/>
        <v>10.186529474638352</v>
      </c>
      <c r="M90" s="93">
        <f t="shared" si="27"/>
        <v>10.116274042035455</v>
      </c>
      <c r="N90" s="91"/>
      <c r="O90" s="99">
        <v>105</v>
      </c>
      <c r="P90" s="93">
        <f t="shared" si="29"/>
        <v>0.17209995676040651</v>
      </c>
      <c r="Q90" s="93">
        <f t="shared" si="28"/>
        <v>0.17090333790063861</v>
      </c>
      <c r="R90" s="93">
        <f t="shared" si="28"/>
        <v>0.16973425629496575</v>
      </c>
      <c r="S90" s="93"/>
      <c r="T90" s="91"/>
      <c r="U90" s="91"/>
      <c r="V90" s="91"/>
      <c r="W90" s="91"/>
      <c r="X90" s="91"/>
      <c r="Y90" s="91"/>
      <c r="Z90" s="91"/>
      <c r="AA90" s="92">
        <v>105</v>
      </c>
      <c r="AB90" s="93">
        <f t="shared" si="30"/>
        <v>-1.1966188597679062E-3</v>
      </c>
      <c r="AC90" s="93">
        <f t="shared" si="31"/>
        <v>-2.3657004654407676E-3</v>
      </c>
      <c r="AD90" s="91"/>
      <c r="AE90" s="91"/>
      <c r="AF90" s="91"/>
      <c r="AG90" s="91"/>
      <c r="AH90" s="91"/>
      <c r="AI90" s="91"/>
      <c r="AJ90" s="91"/>
      <c r="AK90" s="86"/>
    </row>
    <row r="91" spans="9:37" x14ac:dyDescent="0.2">
      <c r="I91" s="86"/>
      <c r="J91" s="99">
        <v>110</v>
      </c>
      <c r="K91" s="93">
        <f t="shared" si="27"/>
        <v>8.2995957885472933</v>
      </c>
      <c r="L91" s="93">
        <f t="shared" si="27"/>
        <v>8.2277355249077377</v>
      </c>
      <c r="M91" s="93">
        <f t="shared" si="27"/>
        <v>8.1575548371530164</v>
      </c>
      <c r="N91" s="91"/>
      <c r="O91" s="99">
        <v>110</v>
      </c>
      <c r="P91" s="93">
        <f t="shared" si="29"/>
        <v>0.17198694673061371</v>
      </c>
      <c r="Q91" s="93">
        <f t="shared" si="28"/>
        <v>0.17079712277770043</v>
      </c>
      <c r="R91" s="93">
        <f t="shared" si="28"/>
        <v>0.16963483607888219</v>
      </c>
      <c r="S91" s="93"/>
      <c r="T91" s="91"/>
      <c r="U91" s="91"/>
      <c r="V91" s="91"/>
      <c r="W91" s="91"/>
      <c r="X91" s="91"/>
      <c r="Y91" s="91"/>
      <c r="Z91" s="91"/>
      <c r="AA91" s="92">
        <v>110</v>
      </c>
      <c r="AB91" s="93">
        <f t="shared" si="30"/>
        <v>-1.1898239529132826E-3</v>
      </c>
      <c r="AC91" s="93">
        <f t="shared" si="31"/>
        <v>-2.3521106517315205E-3</v>
      </c>
      <c r="AD91" s="91"/>
      <c r="AE91" s="91"/>
      <c r="AF91" s="91"/>
      <c r="AG91" s="91"/>
      <c r="AH91" s="91"/>
      <c r="AI91" s="91"/>
      <c r="AJ91" s="91"/>
      <c r="AK91" s="86"/>
    </row>
    <row r="92" spans="9:37" x14ac:dyDescent="0.2">
      <c r="I92" s="86"/>
      <c r="J92" s="99">
        <v>115</v>
      </c>
      <c r="K92" s="93">
        <f t="shared" si="27"/>
        <v>6.6446898454626222</v>
      </c>
      <c r="L92" s="93">
        <f t="shared" si="27"/>
        <v>6.5753114639180197</v>
      </c>
      <c r="M92" s="93">
        <f t="shared" si="27"/>
        <v>6.5077065578351743</v>
      </c>
      <c r="N92" s="91"/>
      <c r="O92" s="99">
        <v>115</v>
      </c>
      <c r="P92" s="93">
        <f t="shared" si="29"/>
        <v>0.17168260642886163</v>
      </c>
      <c r="Q92" s="93">
        <f t="shared" si="28"/>
        <v>0.17050458415627479</v>
      </c>
      <c r="R92" s="93">
        <f t="shared" si="28"/>
        <v>0.16935606608450413</v>
      </c>
      <c r="S92" s="93"/>
      <c r="T92" s="91"/>
      <c r="U92" s="91"/>
      <c r="V92" s="91"/>
      <c r="W92" s="91"/>
      <c r="X92" s="91"/>
      <c r="Y92" s="91"/>
      <c r="Z92" s="91"/>
      <c r="AA92" s="92">
        <v>115</v>
      </c>
      <c r="AB92" s="93">
        <f t="shared" si="30"/>
        <v>-1.1780222725868428E-3</v>
      </c>
      <c r="AC92" s="93">
        <f t="shared" si="31"/>
        <v>-2.3265403443575028E-3</v>
      </c>
      <c r="AD92" s="91"/>
      <c r="AE92" s="91"/>
      <c r="AF92" s="91"/>
      <c r="AG92" s="91"/>
      <c r="AH92" s="91"/>
      <c r="AI92" s="91"/>
      <c r="AJ92" s="91"/>
      <c r="AK92" s="86"/>
    </row>
    <row r="93" spans="9:37" x14ac:dyDescent="0.2">
      <c r="I93" s="86"/>
      <c r="J93" s="99">
        <v>120</v>
      </c>
      <c r="K93" s="93">
        <f t="shared" si="27"/>
        <v>5.2526503978128556</v>
      </c>
      <c r="L93" s="93">
        <f t="shared" si="27"/>
        <v>5.1873891105340277</v>
      </c>
      <c r="M93" s="93">
        <f t="shared" si="27"/>
        <v>5.1240395948876074</v>
      </c>
      <c r="N93" s="91"/>
      <c r="O93" s="99">
        <v>120</v>
      </c>
      <c r="P93" s="93">
        <f t="shared" si="29"/>
        <v>0.1710134869170189</v>
      </c>
      <c r="Q93" s="93">
        <f t="shared" si="28"/>
        <v>0.16984583581805229</v>
      </c>
      <c r="R93" s="93">
        <f t="shared" si="28"/>
        <v>0.16871037111997605</v>
      </c>
      <c r="S93" s="93"/>
      <c r="T93" s="91"/>
      <c r="U93" s="91"/>
      <c r="V93" s="91"/>
      <c r="W93" s="91"/>
      <c r="X93" s="91"/>
      <c r="Y93" s="91"/>
      <c r="Z93" s="91"/>
      <c r="AA93" s="92">
        <v>120</v>
      </c>
      <c r="AB93" s="93">
        <f t="shared" si="30"/>
        <v>-1.1676510989666045E-3</v>
      </c>
      <c r="AC93" s="93">
        <f t="shared" si="31"/>
        <v>-2.3031157970428429E-3</v>
      </c>
      <c r="AD93" s="91"/>
      <c r="AE93" s="91"/>
      <c r="AF93" s="91"/>
      <c r="AG93" s="91"/>
      <c r="AH93" s="91"/>
      <c r="AI93" s="91"/>
      <c r="AJ93" s="91"/>
      <c r="AK93" s="86"/>
    </row>
    <row r="94" spans="9:37" x14ac:dyDescent="0.2">
      <c r="I94" s="86"/>
      <c r="J94" s="87"/>
      <c r="K94" s="88"/>
      <c r="L94" s="88"/>
      <c r="M94" s="88"/>
      <c r="N94" s="86"/>
      <c r="O94" s="87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8"/>
      <c r="AB94" s="88"/>
      <c r="AC94" s="88"/>
      <c r="AD94" s="86"/>
      <c r="AE94" s="86"/>
      <c r="AF94" s="86"/>
      <c r="AG94" s="86"/>
      <c r="AH94" s="86"/>
      <c r="AI94" s="86"/>
      <c r="AJ94" s="86"/>
      <c r="AK94" s="86"/>
    </row>
    <row r="95" spans="9:37" x14ac:dyDescent="0.2">
      <c r="I95" s="86"/>
      <c r="J95" s="87"/>
      <c r="K95" s="88"/>
      <c r="L95" s="88"/>
      <c r="M95" s="88"/>
      <c r="N95" s="86"/>
      <c r="O95" s="87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8"/>
      <c r="AB95" s="88"/>
      <c r="AC95" s="88"/>
      <c r="AD95" s="86"/>
      <c r="AE95" s="86"/>
      <c r="AF95" s="86"/>
      <c r="AG95" s="86"/>
      <c r="AH95" s="86"/>
      <c r="AI95" s="86"/>
      <c r="AJ95" s="86"/>
      <c r="AK95" s="86"/>
    </row>
    <row r="98" spans="9:19" x14ac:dyDescent="0.2">
      <c r="I98" s="100"/>
      <c r="J98" s="158" t="s">
        <v>56</v>
      </c>
      <c r="K98" s="158"/>
      <c r="L98" s="158"/>
      <c r="M98" s="158"/>
      <c r="N98" s="158"/>
      <c r="O98" s="158"/>
      <c r="P98" s="158"/>
      <c r="Q98" s="158"/>
      <c r="R98" s="158"/>
      <c r="S98" s="100"/>
    </row>
    <row r="99" spans="9:19" x14ac:dyDescent="0.2">
      <c r="I99" s="100"/>
      <c r="J99" s="101"/>
      <c r="K99" s="102"/>
      <c r="L99" s="102"/>
      <c r="M99" s="102"/>
      <c r="N99" s="100"/>
      <c r="O99" s="101"/>
      <c r="P99" s="100"/>
      <c r="Q99" s="100"/>
      <c r="R99" s="100"/>
      <c r="S99" s="100"/>
    </row>
    <row r="100" spans="9:19" x14ac:dyDescent="0.2">
      <c r="I100" s="100"/>
      <c r="J100" s="101"/>
      <c r="K100" s="102"/>
      <c r="L100" s="102"/>
      <c r="M100" s="102"/>
      <c r="N100" s="100"/>
      <c r="O100" s="101"/>
      <c r="P100" s="100"/>
      <c r="Q100" s="100"/>
      <c r="R100" s="100"/>
      <c r="S100" s="100"/>
    </row>
    <row r="101" spans="9:19" x14ac:dyDescent="0.2">
      <c r="I101" s="100"/>
      <c r="J101" s="103" t="s">
        <v>18</v>
      </c>
      <c r="K101" s="104">
        <v>-0.2</v>
      </c>
      <c r="L101" s="104">
        <v>0</v>
      </c>
      <c r="M101" s="104">
        <v>0.2</v>
      </c>
      <c r="N101" s="100"/>
      <c r="O101" s="101"/>
      <c r="P101" s="100"/>
      <c r="Q101" s="100"/>
      <c r="R101" s="100"/>
      <c r="S101" s="100"/>
    </row>
    <row r="102" spans="9:19" ht="17" thickBot="1" x14ac:dyDescent="0.25">
      <c r="I102" s="100"/>
      <c r="J102" s="103" t="s">
        <v>19</v>
      </c>
      <c r="K102" s="157" t="s">
        <v>51</v>
      </c>
      <c r="L102" s="157"/>
      <c r="M102" s="157"/>
      <c r="N102" s="100"/>
      <c r="O102" s="101"/>
      <c r="P102" s="100"/>
      <c r="Q102" s="100"/>
      <c r="R102" s="100"/>
      <c r="S102" s="100"/>
    </row>
    <row r="103" spans="9:19" ht="17" thickTop="1" x14ac:dyDescent="0.2">
      <c r="I103" s="100"/>
      <c r="J103" s="105">
        <v>80</v>
      </c>
      <c r="K103" s="106">
        <f t="shared" ref="K103:M111" si="32">K57-K11</f>
        <v>-0.20418906418507277</v>
      </c>
      <c r="L103" s="106">
        <f t="shared" si="32"/>
        <v>-8.8675649083302943E-2</v>
      </c>
      <c r="M103" s="106">
        <f t="shared" si="32"/>
        <v>4.8220266652862165E-2</v>
      </c>
      <c r="N103" s="100"/>
      <c r="O103" s="101"/>
      <c r="P103" s="100"/>
      <c r="Q103" s="100"/>
      <c r="R103" s="100"/>
      <c r="S103" s="100"/>
    </row>
    <row r="104" spans="9:19" x14ac:dyDescent="0.2">
      <c r="I104" s="100"/>
      <c r="J104" s="105">
        <v>85</v>
      </c>
      <c r="K104" s="106">
        <f t="shared" si="32"/>
        <v>6.6472146669017462E-2</v>
      </c>
      <c r="L104" s="106">
        <f t="shared" si="32"/>
        <v>0.101582551250047</v>
      </c>
      <c r="M104" s="106">
        <f t="shared" si="32"/>
        <v>0.17081196168817669</v>
      </c>
      <c r="N104" s="100"/>
      <c r="O104" s="101"/>
      <c r="P104" s="100"/>
      <c r="Q104" s="100"/>
      <c r="R104" s="100"/>
      <c r="S104" s="100"/>
    </row>
    <row r="105" spans="9:19" x14ac:dyDescent="0.2">
      <c r="I105" s="100"/>
      <c r="J105" s="105">
        <v>90</v>
      </c>
      <c r="K105" s="106">
        <f t="shared" si="32"/>
        <v>0.24070353191888216</v>
      </c>
      <c r="L105" s="106">
        <f t="shared" si="32"/>
        <v>0.23512313189336709</v>
      </c>
      <c r="M105" s="106">
        <f t="shared" si="32"/>
        <v>0.26565565458447793</v>
      </c>
      <c r="N105" s="100"/>
      <c r="O105" s="101"/>
      <c r="P105" s="100"/>
      <c r="Q105" s="100"/>
      <c r="R105" s="100"/>
      <c r="S105" s="100"/>
    </row>
    <row r="106" spans="9:19" x14ac:dyDescent="0.2">
      <c r="I106" s="100"/>
      <c r="J106" s="105">
        <v>95</v>
      </c>
      <c r="K106" s="106">
        <f t="shared" si="32"/>
        <v>0.33797876588066522</v>
      </c>
      <c r="L106" s="106">
        <f t="shared" si="32"/>
        <v>0.31813246366634829</v>
      </c>
      <c r="M106" s="106">
        <f t="shared" si="32"/>
        <v>0.33111497371761445</v>
      </c>
      <c r="N106" s="100"/>
      <c r="O106" s="101"/>
      <c r="P106" s="100"/>
      <c r="Q106" s="100"/>
      <c r="R106" s="100"/>
      <c r="S106" s="100"/>
    </row>
    <row r="107" spans="9:19" x14ac:dyDescent="0.2">
      <c r="I107" s="100"/>
      <c r="J107" s="105">
        <v>100</v>
      </c>
      <c r="K107" s="106">
        <f t="shared" si="32"/>
        <v>0.38118769215676096</v>
      </c>
      <c r="L107" s="106">
        <f t="shared" si="32"/>
        <v>0.36082230911631186</v>
      </c>
      <c r="M107" s="106">
        <f t="shared" si="32"/>
        <v>0.36945774976620349</v>
      </c>
      <c r="N107" s="100"/>
      <c r="O107" s="101"/>
      <c r="P107" s="100"/>
      <c r="Q107" s="100"/>
      <c r="R107" s="100"/>
      <c r="S107" s="100"/>
    </row>
    <row r="108" spans="9:19" x14ac:dyDescent="0.2">
      <c r="I108" s="100"/>
      <c r="J108" s="105">
        <v>105</v>
      </c>
      <c r="K108" s="106">
        <f t="shared" si="32"/>
        <v>0.38718753018703289</v>
      </c>
      <c r="L108" s="106">
        <f t="shared" si="32"/>
        <v>0.37083996587302792</v>
      </c>
      <c r="M108" s="106">
        <f t="shared" si="32"/>
        <v>0.38169652002430077</v>
      </c>
      <c r="N108" s="100"/>
      <c r="O108" s="101"/>
      <c r="P108" s="100"/>
      <c r="Q108" s="100"/>
      <c r="R108" s="100"/>
      <c r="S108" s="100"/>
    </row>
    <row r="109" spans="9:19" x14ac:dyDescent="0.2">
      <c r="I109" s="100"/>
      <c r="J109" s="105">
        <v>110</v>
      </c>
      <c r="K109" s="106">
        <f t="shared" si="32"/>
        <v>0.36588567579726572</v>
      </c>
      <c r="L109" s="106">
        <f t="shared" si="32"/>
        <v>0.3519488682119345</v>
      </c>
      <c r="M109" s="106">
        <f t="shared" si="32"/>
        <v>0.36594857664325708</v>
      </c>
      <c r="N109" s="100"/>
      <c r="O109" s="101"/>
      <c r="P109" s="100"/>
      <c r="Q109" s="100"/>
      <c r="R109" s="100"/>
      <c r="S109" s="100"/>
    </row>
    <row r="110" spans="9:19" x14ac:dyDescent="0.2">
      <c r="I110" s="100"/>
      <c r="J110" s="105">
        <v>115</v>
      </c>
      <c r="K110" s="106">
        <f t="shared" si="32"/>
        <v>0.32206399156978982</v>
      </c>
      <c r="L110" s="106">
        <f t="shared" si="32"/>
        <v>0.3046788795343609</v>
      </c>
      <c r="M110" s="106">
        <f t="shared" si="32"/>
        <v>0.31747524217593259</v>
      </c>
      <c r="N110" s="100"/>
      <c r="O110" s="101"/>
      <c r="P110" s="100"/>
      <c r="Q110" s="100"/>
      <c r="R110" s="100"/>
      <c r="S110" s="100"/>
    </row>
    <row r="111" spans="9:19" x14ac:dyDescent="0.2">
      <c r="I111" s="100"/>
      <c r="J111" s="105">
        <v>120</v>
      </c>
      <c r="K111" s="106">
        <f t="shared" si="32"/>
        <v>0.25755525274703928</v>
      </c>
      <c r="L111" s="106">
        <f t="shared" si="32"/>
        <v>0.22762337902936203</v>
      </c>
      <c r="M111" s="106">
        <f t="shared" si="32"/>
        <v>0.22972413874538589</v>
      </c>
      <c r="N111" s="100"/>
      <c r="O111" s="101"/>
      <c r="P111" s="100"/>
      <c r="Q111" s="100"/>
      <c r="R111" s="100"/>
      <c r="S111" s="100"/>
    </row>
    <row r="112" spans="9:19" x14ac:dyDescent="0.2">
      <c r="I112" s="100"/>
      <c r="J112" s="101"/>
      <c r="K112" s="102"/>
      <c r="L112" s="100"/>
      <c r="M112" s="100"/>
      <c r="N112" s="100"/>
      <c r="O112" s="101"/>
      <c r="P112" s="100"/>
      <c r="Q112" s="100"/>
      <c r="R112" s="100"/>
      <c r="S112" s="100"/>
    </row>
    <row r="113" spans="9:19" x14ac:dyDescent="0.2">
      <c r="I113" s="100"/>
      <c r="J113" s="107"/>
      <c r="K113" s="102"/>
      <c r="L113" s="100"/>
      <c r="M113" s="100"/>
      <c r="N113" s="100"/>
      <c r="O113" s="101"/>
      <c r="P113" s="100"/>
      <c r="Q113" s="100"/>
      <c r="R113" s="100"/>
      <c r="S113" s="100"/>
    </row>
    <row r="114" spans="9:19" x14ac:dyDescent="0.2">
      <c r="I114" s="100"/>
      <c r="J114" s="101"/>
      <c r="K114" s="102"/>
      <c r="L114" s="100"/>
      <c r="M114" s="100"/>
      <c r="N114" s="100"/>
      <c r="O114" s="101"/>
      <c r="P114" s="100"/>
      <c r="Q114" s="100"/>
      <c r="R114" s="100"/>
      <c r="S114" s="100"/>
    </row>
    <row r="115" spans="9:19" x14ac:dyDescent="0.2">
      <c r="I115" s="100"/>
      <c r="J115" s="103" t="s">
        <v>20</v>
      </c>
      <c r="K115" s="104">
        <v>0.01</v>
      </c>
      <c r="L115" s="104">
        <v>0.1</v>
      </c>
      <c r="M115" s="104">
        <v>0.3</v>
      </c>
      <c r="N115" s="100"/>
      <c r="O115" s="101"/>
      <c r="P115" s="100"/>
      <c r="Q115" s="100"/>
      <c r="R115" s="100"/>
      <c r="S115" s="100"/>
    </row>
    <row r="116" spans="9:19" ht="17" thickBot="1" x14ac:dyDescent="0.25">
      <c r="I116" s="100"/>
      <c r="J116" s="103" t="s">
        <v>19</v>
      </c>
      <c r="K116" s="157" t="s">
        <v>51</v>
      </c>
      <c r="L116" s="157"/>
      <c r="M116" s="157"/>
      <c r="N116" s="100"/>
      <c r="O116" s="101"/>
      <c r="P116" s="100"/>
      <c r="Q116" s="100"/>
      <c r="R116" s="100"/>
      <c r="S116" s="100"/>
    </row>
    <row r="117" spans="9:19" ht="17" thickTop="1" x14ac:dyDescent="0.2">
      <c r="I117" s="100"/>
      <c r="J117" s="105">
        <v>80</v>
      </c>
      <c r="K117" s="106">
        <f t="shared" ref="K117:M125" si="33">K71-K25</f>
        <v>-0.26755076490604424</v>
      </c>
      <c r="L117" s="106">
        <f t="shared" si="33"/>
        <v>-0.22700318213251336</v>
      </c>
      <c r="M117" s="106">
        <f t="shared" si="33"/>
        <v>-2.9302458808047049E-3</v>
      </c>
      <c r="N117" s="100"/>
      <c r="O117" s="101"/>
      <c r="P117" s="100"/>
      <c r="Q117" s="100"/>
      <c r="R117" s="100"/>
      <c r="S117" s="100"/>
    </row>
    <row r="118" spans="9:19" x14ac:dyDescent="0.2">
      <c r="I118" s="100"/>
      <c r="J118" s="105">
        <v>85</v>
      </c>
      <c r="K118" s="106">
        <f t="shared" si="33"/>
        <v>-2.0383108933138772E-2</v>
      </c>
      <c r="L118" s="106">
        <f t="shared" si="33"/>
        <v>4.8426661036273799E-3</v>
      </c>
      <c r="M118" s="106">
        <f t="shared" si="33"/>
        <v>0.15526769080047842</v>
      </c>
      <c r="N118" s="100"/>
      <c r="O118" s="101"/>
      <c r="P118" s="100"/>
      <c r="Q118" s="100"/>
      <c r="R118" s="100"/>
      <c r="S118" s="100"/>
    </row>
    <row r="119" spans="9:19" x14ac:dyDescent="0.2">
      <c r="I119" s="100"/>
      <c r="J119" s="105">
        <v>90</v>
      </c>
      <c r="K119" s="106">
        <f t="shared" si="33"/>
        <v>0.17011791768095819</v>
      </c>
      <c r="L119" s="106">
        <f t="shared" si="33"/>
        <v>0.18157685798819045</v>
      </c>
      <c r="M119" s="106">
        <f t="shared" si="33"/>
        <v>0.264115317693566</v>
      </c>
      <c r="N119" s="100"/>
      <c r="O119" s="101"/>
      <c r="P119" s="100"/>
      <c r="Q119" s="100"/>
      <c r="R119" s="100"/>
      <c r="S119" s="100"/>
    </row>
    <row r="120" spans="9:19" x14ac:dyDescent="0.2">
      <c r="I120" s="100"/>
      <c r="J120" s="105">
        <v>95</v>
      </c>
      <c r="K120" s="106">
        <f t="shared" si="33"/>
        <v>0.29659132716182413</v>
      </c>
      <c r="L120" s="106">
        <f t="shared" si="33"/>
        <v>0.29827350134232411</v>
      </c>
      <c r="M120" s="106">
        <f t="shared" si="33"/>
        <v>0.33132462765554394</v>
      </c>
      <c r="N120" s="100"/>
      <c r="O120" s="101"/>
      <c r="P120" s="100"/>
      <c r="Q120" s="100"/>
      <c r="R120" s="100"/>
      <c r="S120" s="100"/>
    </row>
    <row r="121" spans="9:19" x14ac:dyDescent="0.2">
      <c r="I121" s="100"/>
      <c r="J121" s="105">
        <v>100</v>
      </c>
      <c r="K121" s="106">
        <f t="shared" si="33"/>
        <v>0.36504176261329313</v>
      </c>
      <c r="L121" s="106">
        <f t="shared" si="33"/>
        <v>0.3614609103713704</v>
      </c>
      <c r="M121" s="106">
        <f t="shared" si="33"/>
        <v>0.36587581016605064</v>
      </c>
      <c r="N121" s="100"/>
      <c r="O121" s="101"/>
      <c r="P121" s="100"/>
      <c r="Q121" s="100"/>
      <c r="R121" s="100"/>
      <c r="S121" s="100"/>
    </row>
    <row r="122" spans="9:19" x14ac:dyDescent="0.2">
      <c r="I122" s="100"/>
      <c r="J122" s="105">
        <v>105</v>
      </c>
      <c r="K122" s="106">
        <f t="shared" si="33"/>
        <v>0.38302850201563743</v>
      </c>
      <c r="L122" s="106">
        <f t="shared" si="33"/>
        <v>0.3783174972209622</v>
      </c>
      <c r="M122" s="106">
        <f t="shared" si="33"/>
        <v>0.37374561758688607</v>
      </c>
      <c r="N122" s="100"/>
      <c r="O122" s="101"/>
      <c r="P122" s="100"/>
      <c r="Q122" s="100"/>
      <c r="R122" s="100"/>
      <c r="S122" s="100"/>
    </row>
    <row r="123" spans="9:19" x14ac:dyDescent="0.2">
      <c r="I123" s="100"/>
      <c r="J123" s="105">
        <v>110</v>
      </c>
      <c r="K123" s="106">
        <f t="shared" si="33"/>
        <v>0.35533912502162757</v>
      </c>
      <c r="L123" s="106">
        <f t="shared" si="33"/>
        <v>0.35295080395858314</v>
      </c>
      <c r="M123" s="106">
        <f t="shared" si="33"/>
        <v>0.3574061565527078</v>
      </c>
      <c r="N123" s="100"/>
      <c r="O123" s="101"/>
      <c r="P123" s="100"/>
      <c r="Q123" s="100"/>
      <c r="R123" s="100"/>
      <c r="S123" s="100"/>
    </row>
    <row r="124" spans="9:19" x14ac:dyDescent="0.2">
      <c r="I124" s="100"/>
      <c r="J124" s="105">
        <v>115</v>
      </c>
      <c r="K124" s="106">
        <f t="shared" si="33"/>
        <v>0.28374293431386199</v>
      </c>
      <c r="L124" s="106">
        <f t="shared" si="33"/>
        <v>0.28636511260406117</v>
      </c>
      <c r="M124" s="106">
        <f t="shared" si="33"/>
        <v>0.316488196168347</v>
      </c>
      <c r="N124" s="100"/>
      <c r="O124" s="101"/>
      <c r="P124" s="100"/>
      <c r="Q124" s="100"/>
      <c r="R124" s="100"/>
      <c r="S124" s="100"/>
    </row>
    <row r="125" spans="9:19" x14ac:dyDescent="0.2">
      <c r="I125" s="100"/>
      <c r="J125" s="105">
        <v>120</v>
      </c>
      <c r="K125" s="106">
        <f t="shared" si="33"/>
        <v>0.16862104393726973</v>
      </c>
      <c r="L125" s="106">
        <f t="shared" si="33"/>
        <v>0.17808571848407162</v>
      </c>
      <c r="M125" s="106">
        <f t="shared" si="33"/>
        <v>0.24877358935403926</v>
      </c>
      <c r="N125" s="100"/>
      <c r="O125" s="101"/>
      <c r="P125" s="100"/>
      <c r="Q125" s="100"/>
      <c r="R125" s="100"/>
      <c r="S125" s="100"/>
    </row>
    <row r="126" spans="9:19" x14ac:dyDescent="0.2">
      <c r="I126" s="100"/>
      <c r="J126" s="101"/>
      <c r="K126" s="102"/>
      <c r="L126" s="100"/>
      <c r="M126" s="100"/>
      <c r="N126" s="100"/>
      <c r="O126" s="101"/>
      <c r="P126" s="100"/>
      <c r="Q126" s="100"/>
      <c r="R126" s="100"/>
      <c r="S126" s="100"/>
    </row>
    <row r="127" spans="9:19" x14ac:dyDescent="0.2">
      <c r="I127" s="100"/>
      <c r="J127" s="107"/>
      <c r="K127" s="102"/>
      <c r="L127" s="100"/>
      <c r="M127" s="100"/>
      <c r="N127" s="100"/>
      <c r="O127" s="101"/>
      <c r="P127" s="100"/>
      <c r="Q127" s="100"/>
      <c r="R127" s="100"/>
      <c r="S127" s="100"/>
    </row>
    <row r="128" spans="9:19" x14ac:dyDescent="0.2">
      <c r="I128" s="100"/>
      <c r="J128" s="101"/>
      <c r="K128" s="102"/>
      <c r="L128" s="100"/>
      <c r="M128" s="100"/>
      <c r="N128" s="100"/>
      <c r="O128" s="101"/>
      <c r="P128" s="100"/>
      <c r="Q128" s="100"/>
      <c r="R128" s="100"/>
      <c r="S128" s="100"/>
    </row>
    <row r="129" spans="9:19" x14ac:dyDescent="0.2">
      <c r="I129" s="100"/>
      <c r="J129" s="108" t="s">
        <v>21</v>
      </c>
      <c r="K129" s="109">
        <v>0</v>
      </c>
      <c r="L129" s="109">
        <v>0.05</v>
      </c>
      <c r="M129" s="109">
        <v>0.1</v>
      </c>
      <c r="N129" s="100"/>
      <c r="O129" s="101"/>
      <c r="P129" s="100"/>
      <c r="Q129" s="100"/>
      <c r="R129" s="100"/>
      <c r="S129" s="100"/>
    </row>
    <row r="130" spans="9:19" ht="17" thickBot="1" x14ac:dyDescent="0.25">
      <c r="I130" s="100"/>
      <c r="J130" s="103" t="s">
        <v>19</v>
      </c>
      <c r="K130" s="157" t="s">
        <v>51</v>
      </c>
      <c r="L130" s="157"/>
      <c r="M130" s="157"/>
      <c r="N130" s="100"/>
      <c r="O130" s="101"/>
      <c r="P130" s="100"/>
      <c r="Q130" s="100"/>
      <c r="R130" s="100"/>
      <c r="S130" s="100"/>
    </row>
    <row r="131" spans="9:19" ht="17" thickTop="1" x14ac:dyDescent="0.2">
      <c r="I131" s="100"/>
      <c r="J131" s="110">
        <v>80</v>
      </c>
      <c r="K131" s="106">
        <f t="shared" ref="K131:M139" si="34">K85-K39</f>
        <v>-6.8002262516394296E-2</v>
      </c>
      <c r="L131" s="106">
        <f t="shared" si="34"/>
        <v>-7.0644706794318779E-2</v>
      </c>
      <c r="M131" s="106">
        <f t="shared" si="34"/>
        <v>-7.2410322578861042E-2</v>
      </c>
      <c r="N131" s="100"/>
      <c r="O131" s="101"/>
      <c r="P131" s="100"/>
      <c r="Q131" s="100"/>
      <c r="R131" s="100"/>
      <c r="S131" s="100"/>
    </row>
    <row r="132" spans="9:19" x14ac:dyDescent="0.2">
      <c r="I132" s="100"/>
      <c r="J132" s="110">
        <v>85</v>
      </c>
      <c r="K132" s="106">
        <f t="shared" si="34"/>
        <v>0.10903718183051936</v>
      </c>
      <c r="L132" s="106">
        <f t="shared" si="34"/>
        <v>0.11202152527970455</v>
      </c>
      <c r="M132" s="106">
        <f t="shared" si="34"/>
        <v>0.11551909554885498</v>
      </c>
      <c r="N132" s="100"/>
      <c r="O132" s="101"/>
      <c r="P132" s="100"/>
      <c r="Q132" s="100"/>
      <c r="R132" s="100"/>
      <c r="S132" s="100"/>
    </row>
    <row r="133" spans="9:19" x14ac:dyDescent="0.2">
      <c r="I133" s="100"/>
      <c r="J133" s="110">
        <v>90</v>
      </c>
      <c r="K133" s="106">
        <f t="shared" si="34"/>
        <v>0.23559909278299784</v>
      </c>
      <c r="L133" s="106">
        <f t="shared" si="34"/>
        <v>0.24095290949874837</v>
      </c>
      <c r="M133" s="106">
        <f t="shared" si="34"/>
        <v>0.24654192987683032</v>
      </c>
      <c r="N133" s="100"/>
      <c r="O133" s="101"/>
      <c r="P133" s="100"/>
      <c r="Q133" s="100"/>
      <c r="R133" s="100"/>
      <c r="S133" s="100"/>
    </row>
    <row r="134" spans="9:19" x14ac:dyDescent="0.2">
      <c r="I134" s="100"/>
      <c r="J134" s="110">
        <v>95</v>
      </c>
      <c r="K134" s="106">
        <f t="shared" si="34"/>
        <v>0.31571117415923133</v>
      </c>
      <c r="L134" s="106">
        <f t="shared" si="34"/>
        <v>0.32189632152356573</v>
      </c>
      <c r="M134" s="106">
        <f t="shared" si="34"/>
        <v>0.32812829251202125</v>
      </c>
      <c r="N134" s="100"/>
      <c r="O134" s="101"/>
      <c r="P134" s="100"/>
      <c r="Q134" s="100"/>
      <c r="R134" s="100"/>
      <c r="S134" s="100"/>
    </row>
    <row r="135" spans="9:19" x14ac:dyDescent="0.2">
      <c r="I135" s="100"/>
      <c r="J135" s="110">
        <v>100</v>
      </c>
      <c r="K135" s="106">
        <f t="shared" si="34"/>
        <v>0.35772174143007618</v>
      </c>
      <c r="L135" s="106">
        <f t="shared" si="34"/>
        <v>0.36422538358223555</v>
      </c>
      <c r="M135" s="106">
        <f t="shared" si="34"/>
        <v>0.37066606799193558</v>
      </c>
      <c r="N135" s="100"/>
      <c r="O135" s="101"/>
      <c r="P135" s="100"/>
      <c r="Q135" s="100"/>
      <c r="R135" s="100"/>
      <c r="S135" s="100"/>
    </row>
    <row r="136" spans="9:19" x14ac:dyDescent="0.2">
      <c r="I136" s="100"/>
      <c r="J136" s="110">
        <v>105</v>
      </c>
      <c r="K136" s="106">
        <f t="shared" si="34"/>
        <v>0.36793407967543601</v>
      </c>
      <c r="L136" s="106">
        <f t="shared" si="34"/>
        <v>0.374743406716739</v>
      </c>
      <c r="M136" s="106">
        <f t="shared" si="34"/>
        <v>0.38144728337075229</v>
      </c>
      <c r="N136" s="100"/>
      <c r="O136" s="101"/>
      <c r="P136" s="100"/>
      <c r="Q136" s="100"/>
      <c r="R136" s="100"/>
      <c r="S136" s="100"/>
    </row>
    <row r="137" spans="9:19" x14ac:dyDescent="0.2">
      <c r="I137" s="100"/>
      <c r="J137" s="110">
        <v>110</v>
      </c>
      <c r="K137" s="106">
        <f t="shared" si="34"/>
        <v>0.3491786516855786</v>
      </c>
      <c r="L137" s="106">
        <f t="shared" si="34"/>
        <v>0.3564201060058263</v>
      </c>
      <c r="M137" s="106">
        <f t="shared" si="34"/>
        <v>0.36357522219352489</v>
      </c>
      <c r="N137" s="100"/>
      <c r="O137" s="101"/>
      <c r="P137" s="100"/>
      <c r="Q137" s="100"/>
      <c r="R137" s="100"/>
      <c r="S137" s="100"/>
    </row>
    <row r="138" spans="9:19" x14ac:dyDescent="0.2">
      <c r="I138" s="100"/>
      <c r="J138" s="110">
        <v>115</v>
      </c>
      <c r="K138" s="106">
        <f t="shared" si="34"/>
        <v>0.30130783158851315</v>
      </c>
      <c r="L138" s="106">
        <f t="shared" si="34"/>
        <v>0.30899353890065484</v>
      </c>
      <c r="M138" s="106">
        <f t="shared" si="34"/>
        <v>0.31667355713559431</v>
      </c>
      <c r="N138" s="100"/>
      <c r="O138" s="101"/>
      <c r="P138" s="100"/>
      <c r="Q138" s="100"/>
      <c r="R138" s="100"/>
      <c r="S138" s="100"/>
    </row>
    <row r="139" spans="9:19" x14ac:dyDescent="0.2">
      <c r="I139" s="100"/>
      <c r="J139" s="110">
        <v>120</v>
      </c>
      <c r="K139" s="106">
        <f t="shared" si="34"/>
        <v>0.22239767857074355</v>
      </c>
      <c r="L139" s="106">
        <f t="shared" si="34"/>
        <v>0.23023379083024942</v>
      </c>
      <c r="M139" s="106">
        <f t="shared" si="34"/>
        <v>0.23820898619053743</v>
      </c>
      <c r="N139" s="100"/>
      <c r="O139" s="101"/>
      <c r="P139" s="100"/>
      <c r="Q139" s="100"/>
      <c r="R139" s="100"/>
      <c r="S139" s="100"/>
    </row>
    <row r="140" spans="9:19" x14ac:dyDescent="0.2">
      <c r="I140" s="100"/>
      <c r="J140" s="101"/>
      <c r="K140" s="102"/>
      <c r="L140" s="102"/>
      <c r="M140" s="102"/>
      <c r="N140" s="100"/>
      <c r="O140" s="101"/>
      <c r="P140" s="100"/>
      <c r="Q140" s="100"/>
      <c r="R140" s="100"/>
      <c r="S140" s="100"/>
    </row>
    <row r="141" spans="9:19" x14ac:dyDescent="0.2">
      <c r="I141" s="100"/>
      <c r="J141" s="101"/>
      <c r="K141" s="102"/>
      <c r="L141" s="102"/>
      <c r="M141" s="102"/>
      <c r="N141" s="100"/>
      <c r="O141" s="101"/>
      <c r="P141" s="100"/>
      <c r="Q141" s="100"/>
      <c r="R141" s="100"/>
      <c r="S141" s="100"/>
    </row>
  </sheetData>
  <mergeCells count="28">
    <mergeCell ref="K130:M130"/>
    <mergeCell ref="J98:R98"/>
    <mergeCell ref="AB84:AC84"/>
    <mergeCell ref="D9:F9"/>
    <mergeCell ref="AA6:AC6"/>
    <mergeCell ref="AA52:AC52"/>
    <mergeCell ref="K102:M102"/>
    <mergeCell ref="K116:M116"/>
    <mergeCell ref="A6:F6"/>
    <mergeCell ref="AB10:AC10"/>
    <mergeCell ref="AB24:AC24"/>
    <mergeCell ref="AB38:AC38"/>
    <mergeCell ref="AB56:AC56"/>
    <mergeCell ref="AB70:AC70"/>
    <mergeCell ref="K56:M56"/>
    <mergeCell ref="K70:M70"/>
    <mergeCell ref="K84:M84"/>
    <mergeCell ref="P10:R10"/>
    <mergeCell ref="P24:R24"/>
    <mergeCell ref="P38:R38"/>
    <mergeCell ref="P56:R56"/>
    <mergeCell ref="P70:R70"/>
    <mergeCell ref="P84:R84"/>
    <mergeCell ref="J6:R6"/>
    <mergeCell ref="J52:R52"/>
    <mergeCell ref="K10:M10"/>
    <mergeCell ref="K24:M24"/>
    <mergeCell ref="K38:M38"/>
  </mergeCells>
  <dataValidations count="1">
    <dataValidation type="list" allowBlank="1" showInputMessage="1" showErrorMessage="1" sqref="B20">
      <formula1>"Call,Put"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Q2Refresh_HSVTrap">
                <anchor moveWithCells="1" sizeWithCells="1">
                  <from>
                    <xdr:col>8</xdr:col>
                    <xdr:colOff>190500</xdr:colOff>
                    <xdr:row>5</xdr:row>
                    <xdr:rowOff>101600</xdr:rowOff>
                  </from>
                  <to>
                    <xdr:col>9</xdr:col>
                    <xdr:colOff>571500</xdr:colOff>
                    <xdr:row>7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Q2Refresh_HSVGL10">
                <anchor moveWithCells="1" sizeWithCells="1">
                  <from>
                    <xdr:col>8</xdr:col>
                    <xdr:colOff>101600</xdr:colOff>
                    <xdr:row>51</xdr:row>
                    <xdr:rowOff>101600</xdr:rowOff>
                  </from>
                  <to>
                    <xdr:col>9</xdr:col>
                    <xdr:colOff>533400</xdr:colOff>
                    <xdr:row>53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Q2Refresh_HSVDiff">
                <anchor moveWithCells="1" sizeWithCells="1">
                  <from>
                    <xdr:col>8</xdr:col>
                    <xdr:colOff>101600</xdr:colOff>
                    <xdr:row>97</xdr:row>
                    <xdr:rowOff>63500</xdr:rowOff>
                  </from>
                  <to>
                    <xdr:col>9</xdr:col>
                    <xdr:colOff>546100</xdr:colOff>
                    <xdr:row>99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Q2Refresh_Part1">
                <anchor moveWithCells="1" sizeWithCells="1">
                  <from>
                    <xdr:col>5</xdr:col>
                    <xdr:colOff>406400</xdr:colOff>
                    <xdr:row>5</xdr:row>
                    <xdr:rowOff>88900</xdr:rowOff>
                  </from>
                  <to>
                    <xdr:col>6</xdr:col>
                    <xdr:colOff>482600</xdr:colOff>
                    <xdr:row>7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R53"/>
  <sheetViews>
    <sheetView showGridLines="0" zoomScale="70" zoomScaleNormal="70" zoomScalePageLayoutView="70" workbookViewId="0">
      <selection activeCell="O18" sqref="O18"/>
    </sheetView>
  </sheetViews>
  <sheetFormatPr baseColWidth="10" defaultColWidth="8.83203125" defaultRowHeight="16" x14ac:dyDescent="0.2"/>
  <cols>
    <col min="1" max="1" width="8.83203125" style="1"/>
    <col min="2" max="2" width="9.5" style="1" bestFit="1" customWidth="1"/>
    <col min="3" max="3" width="15.6640625" style="1" bestFit="1" customWidth="1"/>
    <col min="4" max="4" width="9.5" style="1" bestFit="1" customWidth="1"/>
    <col min="5" max="5" width="14.6640625" style="1" bestFit="1" customWidth="1"/>
    <col min="6" max="6" width="11" style="1" customWidth="1"/>
    <col min="7" max="7" width="30" style="1" bestFit="1" customWidth="1"/>
    <col min="8" max="8" width="12.33203125" style="5" bestFit="1" customWidth="1"/>
    <col min="9" max="9" width="3.1640625" style="5" customWidth="1"/>
    <col min="10" max="10" width="17.33203125" style="1" customWidth="1"/>
    <col min="11" max="11" width="23.5" style="5" bestFit="1" customWidth="1"/>
    <col min="12" max="12" width="21.33203125" style="5" bestFit="1" customWidth="1"/>
    <col min="13" max="13" width="24.6640625" style="5" bestFit="1" customWidth="1"/>
    <col min="14" max="14" width="9" style="5" customWidth="1"/>
    <col min="15" max="16" width="8.83203125" style="1"/>
    <col min="17" max="17" width="21.1640625" style="1" bestFit="1" customWidth="1"/>
    <col min="18" max="18" width="9" style="5" bestFit="1" customWidth="1"/>
    <col min="19" max="16384" width="8.83203125" style="1"/>
  </cols>
  <sheetData>
    <row r="1" spans="1:13" ht="18" x14ac:dyDescent="0.25">
      <c r="A1" s="9" t="s">
        <v>41</v>
      </c>
    </row>
    <row r="4" spans="1:13" ht="15.75" x14ac:dyDescent="0.25">
      <c r="G4" s="161" t="s">
        <v>95</v>
      </c>
      <c r="H4" s="161"/>
      <c r="J4" s="162" t="s">
        <v>75</v>
      </c>
      <c r="K4" s="162"/>
      <c r="L4" s="162"/>
      <c r="M4" s="162"/>
    </row>
    <row r="6" spans="1:13" ht="15.75" x14ac:dyDescent="0.25">
      <c r="B6" s="163" t="s">
        <v>10</v>
      </c>
      <c r="C6" s="163"/>
      <c r="D6" s="163"/>
      <c r="E6" s="163"/>
      <c r="G6" s="20" t="s">
        <v>15</v>
      </c>
      <c r="H6" s="20" t="s">
        <v>17</v>
      </c>
      <c r="I6" s="21"/>
      <c r="J6" s="34"/>
      <c r="K6" s="35" t="s">
        <v>71</v>
      </c>
      <c r="L6" s="36" t="s">
        <v>101</v>
      </c>
      <c r="M6" s="37" t="s">
        <v>102</v>
      </c>
    </row>
    <row r="7" spans="1:13" x14ac:dyDescent="0.2">
      <c r="B7" s="131" t="s">
        <v>28</v>
      </c>
      <c r="C7" s="132" t="s">
        <v>8</v>
      </c>
      <c r="D7" s="132" t="s">
        <v>0</v>
      </c>
      <c r="E7" s="132" t="s">
        <v>9</v>
      </c>
      <c r="G7" s="1" t="s">
        <v>26</v>
      </c>
      <c r="H7" s="120">
        <v>100</v>
      </c>
      <c r="I7" s="26"/>
      <c r="J7" s="38" t="s">
        <v>63</v>
      </c>
      <c r="K7" s="31">
        <f>BS_EuroDiv($H$7+$H$13,$H$8,$H$9,$H$10,$H$11,$H$12,$C$8:$C$10,$D$8:$D$10,$E$8:$E$10)</f>
        <v>8.6786422454855021</v>
      </c>
      <c r="L7" s="31">
        <f>BS_DeltaDiv($H$7,$H$8,$H$9,$H$10,$H$11,$H$12,$C$8:$C$10,$D$8:$D$10,$E$8:$E$10)</f>
        <v>0.44234213724976285</v>
      </c>
      <c r="M7" s="39">
        <f>(K7-$H$15)/$H$13</f>
        <v>0.44234219807037783</v>
      </c>
    </row>
    <row r="8" spans="1:13" x14ac:dyDescent="0.2">
      <c r="B8" s="131">
        <v>1</v>
      </c>
      <c r="C8" s="131">
        <v>0.5</v>
      </c>
      <c r="D8" s="131">
        <v>5</v>
      </c>
      <c r="E8" s="133">
        <f>$H$9</f>
        <v>0.02</v>
      </c>
      <c r="G8" s="1" t="s">
        <v>25</v>
      </c>
      <c r="H8" s="5">
        <v>100</v>
      </c>
      <c r="J8" s="38" t="s">
        <v>64</v>
      </c>
      <c r="K8" s="31">
        <f>BS_EuroDiv($H$7+2*H13,$H$8,$H$9,$H$10,$H$11,$H$12,$C$8:$C$10,$D$8:$D$10,$E$8:$E$10)</f>
        <v>8.678646668908705</v>
      </c>
      <c r="L8" s="31">
        <f>BS_GammaDiv(H7,H8,H9,H10,H11,$C$8:$C$10,$D$8:$D$10,$E$8:$E$10)</f>
        <v>1.2196348198543906E-2</v>
      </c>
      <c r="M8" s="39">
        <f>(K8-2*K7+H15)/$H$13^2</f>
        <v>1.2221335055073721E-2</v>
      </c>
    </row>
    <row r="9" spans="1:13" x14ac:dyDescent="0.2">
      <c r="B9" s="131">
        <v>2</v>
      </c>
      <c r="C9" s="131">
        <v>1</v>
      </c>
      <c r="D9" s="131">
        <v>5</v>
      </c>
      <c r="E9" s="133">
        <f t="shared" ref="E9:E10" si="0">$H$9</f>
        <v>0.02</v>
      </c>
      <c r="F9" s="5"/>
      <c r="G9" s="1" t="s">
        <v>27</v>
      </c>
      <c r="H9" s="5">
        <v>0.02</v>
      </c>
      <c r="J9" s="47" t="s">
        <v>65</v>
      </c>
      <c r="K9" s="48">
        <f>BS_EuroDiv($H$7,$H$8,$H$9,$H$10,$H$11+$H$13,$H$12,$C$8:$C$10,$D$8:$D$10,$E$8:$E$10)</f>
        <v>8.6790637482364765</v>
      </c>
      <c r="L9" s="48">
        <f>BS_VegaDiv($H$7,$H$8,$H$9,$H$10,$H$11,$C$8:$C$10,$D$8:$D$10,$E$8:$E$10)</f>
        <v>42.59256329749855</v>
      </c>
      <c r="M9" s="45">
        <f>(K9-H15)/H13</f>
        <v>42.592617295511559</v>
      </c>
    </row>
    <row r="10" spans="1:13" x14ac:dyDescent="0.2">
      <c r="B10" s="131">
        <v>3</v>
      </c>
      <c r="C10" s="131">
        <v>1.5</v>
      </c>
      <c r="D10" s="131">
        <v>5</v>
      </c>
      <c r="E10" s="133">
        <f t="shared" si="0"/>
        <v>0.02</v>
      </c>
      <c r="F10" s="5"/>
      <c r="G10" s="1" t="s">
        <v>24</v>
      </c>
      <c r="H10" s="5">
        <v>1.6</v>
      </c>
      <c r="J10" s="140" t="s">
        <v>66</v>
      </c>
      <c r="K10" s="125">
        <f>BS_EuroDiv($H$7,$H$8,$H$9+$H$13,$H$10,$H$11,$H$12,$C$14:$C$16,$D$14:$D$16,$E$14:$E$16)</f>
        <v>8.6791674805284948</v>
      </c>
      <c r="L10" s="125">
        <f>BS_RhoDiv(H7,H8,H9,H10,H11,H12,$C$14:$C$16,$D$14:$D$16,$E$14:$E$16)</f>
        <v>46.482822269967343</v>
      </c>
      <c r="M10" s="40">
        <f>(K10-H15)/H13</f>
        <v>52.965846497343698</v>
      </c>
    </row>
    <row r="11" spans="1:13" x14ac:dyDescent="0.2">
      <c r="B11" s="8"/>
      <c r="C11" s="8"/>
      <c r="D11" s="8"/>
      <c r="E11" s="8"/>
      <c r="G11" s="1" t="s">
        <v>55</v>
      </c>
      <c r="H11" s="5">
        <v>0.3</v>
      </c>
      <c r="J11" s="143" t="s">
        <v>67</v>
      </c>
      <c r="K11" s="127">
        <f>BS_EuroDiv($H$7,$H$8,$H$9,$H$10-H13,$H$11,$H$12,$C$20:$C$22,$D$20:$D$22,$E$20:$E$22)</f>
        <v>8.6785907803692943</v>
      </c>
      <c r="L11" s="127">
        <f>BS_ThetaDiv($H$7,$H$8,$H$9,$H$10,$H$11,$H$12,$C$8:$C$10,$D$8:$D$10,$E$8:$E$10)</f>
        <v>-4.5740850385068841</v>
      </c>
      <c r="M11" s="128">
        <f>(K11-H15)/H13</f>
        <v>-4.7041694227090147</v>
      </c>
    </row>
    <row r="12" spans="1:13" x14ac:dyDescent="0.2">
      <c r="B12" s="164" t="s">
        <v>100</v>
      </c>
      <c r="C12" s="164"/>
      <c r="D12" s="164"/>
      <c r="E12" s="164"/>
      <c r="G12" s="1" t="s">
        <v>29</v>
      </c>
      <c r="H12" s="5" t="s">
        <v>1</v>
      </c>
      <c r="J12" s="49"/>
      <c r="K12" s="50"/>
      <c r="L12" s="48"/>
      <c r="M12" s="45"/>
    </row>
    <row r="13" spans="1:13" x14ac:dyDescent="0.2">
      <c r="B13" s="28" t="s">
        <v>28</v>
      </c>
      <c r="C13" s="29" t="s">
        <v>8</v>
      </c>
      <c r="D13" s="29" t="s">
        <v>0</v>
      </c>
      <c r="E13" s="29" t="s">
        <v>9</v>
      </c>
      <c r="G13" s="1" t="s">
        <v>48</v>
      </c>
      <c r="H13" s="5">
        <v>1.0000000000000001E-5</v>
      </c>
      <c r="J13" s="49"/>
      <c r="K13" s="44" t="s">
        <v>68</v>
      </c>
      <c r="L13" s="48">
        <f>L9/100</f>
        <v>0.42592563297498548</v>
      </c>
      <c r="M13" s="45">
        <f>M9/100</f>
        <v>0.42592617295511559</v>
      </c>
    </row>
    <row r="14" spans="1:13" x14ac:dyDescent="0.2">
      <c r="B14" s="28">
        <v>1</v>
      </c>
      <c r="C14" s="28">
        <v>0.5</v>
      </c>
      <c r="D14" s="28">
        <v>5</v>
      </c>
      <c r="E14" s="46">
        <f>$H$9+$H$13</f>
        <v>2.001E-2</v>
      </c>
      <c r="J14" s="15"/>
      <c r="K14" s="141" t="s">
        <v>69</v>
      </c>
      <c r="L14" s="126">
        <f>L10/100</f>
        <v>0.46482822269967344</v>
      </c>
      <c r="M14" s="40">
        <f>M10/100</f>
        <v>0.52965846497343694</v>
      </c>
    </row>
    <row r="15" spans="1:13" x14ac:dyDescent="0.2">
      <c r="B15" s="28">
        <v>2</v>
      </c>
      <c r="C15" s="28">
        <v>1</v>
      </c>
      <c r="D15" s="28">
        <v>5</v>
      </c>
      <c r="E15" s="46">
        <f t="shared" ref="E15:E16" si="1">$H$9+$H$13</f>
        <v>2.001E-2</v>
      </c>
      <c r="G15" s="25" t="s">
        <v>49</v>
      </c>
      <c r="H15" s="119">
        <f>BS_EuroDiv($H$7,$H$8,$H$9,$H$10,$H$11,$H$12,$C$8:$C$10,$D$8:$D$10,$E$8:$E$10)</f>
        <v>8.6786378220635214</v>
      </c>
      <c r="I15" s="24"/>
      <c r="J15" s="42"/>
      <c r="K15" s="142" t="s">
        <v>70</v>
      </c>
      <c r="L15" s="129">
        <f>L11/365</f>
        <v>-1.2531739831525709E-2</v>
      </c>
      <c r="M15" s="130">
        <f>M11/365</f>
        <v>-1.2888135404682232E-2</v>
      </c>
    </row>
    <row r="16" spans="1:13" x14ac:dyDescent="0.2">
      <c r="B16" s="28">
        <v>3</v>
      </c>
      <c r="C16" s="28">
        <v>1.5</v>
      </c>
      <c r="D16" s="28">
        <v>5</v>
      </c>
      <c r="E16" s="46">
        <f t="shared" si="1"/>
        <v>2.001E-2</v>
      </c>
      <c r="G16" s="25"/>
      <c r="H16" s="24"/>
      <c r="I16" s="24"/>
      <c r="J16" s="30"/>
      <c r="K16" s="33"/>
      <c r="L16" s="31"/>
      <c r="M16" s="31"/>
    </row>
    <row r="17" spans="2:13" x14ac:dyDescent="0.2">
      <c r="B17" s="8"/>
      <c r="C17" s="8"/>
      <c r="D17" s="8"/>
      <c r="E17" s="8"/>
    </row>
    <row r="18" spans="2:13" x14ac:dyDescent="0.2">
      <c r="B18" s="165" t="s">
        <v>99</v>
      </c>
      <c r="C18" s="165"/>
      <c r="D18" s="165"/>
      <c r="E18" s="165"/>
      <c r="G18" s="161" t="s">
        <v>76</v>
      </c>
      <c r="H18" s="161"/>
      <c r="J18" s="162" t="s">
        <v>103</v>
      </c>
      <c r="K18" s="162"/>
      <c r="L18" s="162"/>
      <c r="M18" s="162"/>
    </row>
    <row r="19" spans="2:13" x14ac:dyDescent="0.2">
      <c r="B19" s="123" t="s">
        <v>28</v>
      </c>
      <c r="C19" s="124" t="s">
        <v>8</v>
      </c>
      <c r="D19" s="124" t="s">
        <v>0</v>
      </c>
      <c r="E19" s="124" t="s">
        <v>9</v>
      </c>
    </row>
    <row r="20" spans="2:13" x14ac:dyDescent="0.2">
      <c r="B20" s="123">
        <v>1</v>
      </c>
      <c r="C20" s="123">
        <f>C8-$H$13</f>
        <v>0.49998999999999999</v>
      </c>
      <c r="D20" s="123">
        <f>D8</f>
        <v>5</v>
      </c>
      <c r="E20" s="123">
        <f>E8</f>
        <v>0.02</v>
      </c>
      <c r="G20" s="20" t="s">
        <v>15</v>
      </c>
      <c r="H20" s="20" t="s">
        <v>17</v>
      </c>
      <c r="I20" s="21"/>
      <c r="J20" s="34"/>
      <c r="K20" s="36" t="s">
        <v>71</v>
      </c>
      <c r="L20" s="36" t="s">
        <v>101</v>
      </c>
      <c r="M20" s="37" t="s">
        <v>102</v>
      </c>
    </row>
    <row r="21" spans="2:13" x14ac:dyDescent="0.2">
      <c r="B21" s="123">
        <v>2</v>
      </c>
      <c r="C21" s="123">
        <f t="shared" ref="C21:C22" si="2">C9-$H$13</f>
        <v>0.99999000000000005</v>
      </c>
      <c r="D21" s="123">
        <f t="shared" ref="D21:E22" si="3">D9</f>
        <v>5</v>
      </c>
      <c r="E21" s="123">
        <f t="shared" si="3"/>
        <v>0.02</v>
      </c>
      <c r="G21" s="1" t="s">
        <v>22</v>
      </c>
      <c r="H21" s="5">
        <v>2.5</v>
      </c>
      <c r="J21" s="38" t="s">
        <v>63</v>
      </c>
      <c r="K21" s="31">
        <f>Heston_DivEu_Trap($H$21,$H$22,$H$23,$H$24,$H$25,$H$26,$H$27,$H$28+$H$32,$H$29,$H$30,$H$31,$C$8:$C$10,$D$8:$D$10,$E$8:$E$10)</f>
        <v>3.1214601106216531</v>
      </c>
      <c r="L21" s="31">
        <f>HDelta(H21,H22,H23,H24,H25,H26,H27,H28,H29,H30,H31,C8:C10,D8:D10,E8:E10)</f>
        <v>0.29740424140085076</v>
      </c>
      <c r="M21" s="39">
        <f>(K21-$H$34)/$H$32</f>
        <v>0.29740865077343415</v>
      </c>
    </row>
    <row r="22" spans="2:13" x14ac:dyDescent="0.2">
      <c r="B22" s="123">
        <v>3</v>
      </c>
      <c r="C22" s="123">
        <f t="shared" si="2"/>
        <v>1.4999899999999999</v>
      </c>
      <c r="D22" s="123">
        <f t="shared" si="3"/>
        <v>5</v>
      </c>
      <c r="E22" s="123">
        <f t="shared" si="3"/>
        <v>0.02</v>
      </c>
      <c r="G22" s="1" t="s">
        <v>23</v>
      </c>
      <c r="H22" s="5">
        <v>0.03</v>
      </c>
      <c r="J22" s="38" t="s">
        <v>64</v>
      </c>
      <c r="K22" s="31">
        <f>Heston_DivEu_Trap($H$21,$H$22,$H$23,$H$24,$H$25,$H$26,$H$27,$H$28+$H$32*2,$H$29,$H$30,$H$31,$C$8:$C$10,$D$8:$D$10,$E$8:$E$10)</f>
        <v>3.1214630847101503</v>
      </c>
      <c r="L22" s="31">
        <f>HGamma(H21,H22,H23,H24,H25,H26,H27,H28,H29,H30,H31,C8:C10,D8:D10,E8:E10)</f>
        <v>1.971033293576151E-2</v>
      </c>
      <c r="M22" s="45">
        <f>(K22-2*K21+H34)/$H$32^2</f>
        <v>1.9895196601282802E-2</v>
      </c>
    </row>
    <row r="23" spans="2:13" x14ac:dyDescent="0.2">
      <c r="B23" s="8"/>
      <c r="C23" s="8"/>
      <c r="D23" s="8"/>
      <c r="E23" s="8"/>
      <c r="G23" s="1" t="s">
        <v>21</v>
      </c>
      <c r="H23" s="5">
        <v>0.02</v>
      </c>
      <c r="J23" s="38" t="s">
        <v>65</v>
      </c>
      <c r="K23" s="31">
        <f>Heston_DivEu_Trap($H$21,$H$22,$H$23,$H$24,$H$25,$H$26,$H$27,$H$28,$H$29,$H$30+$H$32,$H$31,$C$8:$C$10,$D$8:$D$10,$E$8:$E$10)</f>
        <v>3.1217323862886133</v>
      </c>
      <c r="L23" s="31">
        <f>HVega(H21,H22,H23,H24,H25,H26,H27,H28,H29,H30,H31,C8:C10,D8:D10,E8:E10)</f>
        <v>27.827537669010141</v>
      </c>
      <c r="M23" s="45">
        <f>(K23-H34)/H32</f>
        <v>27.524975346793209</v>
      </c>
    </row>
    <row r="24" spans="2:13" x14ac:dyDescent="0.2">
      <c r="G24" s="1" t="s">
        <v>18</v>
      </c>
      <c r="H24" s="5">
        <v>0.03</v>
      </c>
      <c r="J24" s="140" t="s">
        <v>66</v>
      </c>
      <c r="K24" s="125">
        <f>Heston_DivEu_Trap($H$21,$H$22,$H$23,$H$24,$H$25,$H$26,$H$27,$H$28,$H$29+$H$32,$H$30,$H$31,$C$14:$C$16,$D$14:$D$16,$E$14:$E$16)</f>
        <v>3.1218566829991765</v>
      </c>
      <c r="L24" s="125">
        <f>Hrho(H21,H22,H23,H24,H25,H26,H27,H28,H29,H30,H31,C14:C16,D14:D16,E14:E16)</f>
        <v>35.594143674854564</v>
      </c>
      <c r="M24" s="40">
        <f>(K24-H34)/H32</f>
        <v>39.954646403117522</v>
      </c>
    </row>
    <row r="25" spans="2:13" x14ac:dyDescent="0.2">
      <c r="G25" s="1" t="s">
        <v>20</v>
      </c>
      <c r="H25" s="5">
        <v>0.25</v>
      </c>
      <c r="J25" s="143" t="s">
        <v>67</v>
      </c>
      <c r="K25" s="127">
        <f>Heston_DivEu_Trap($H$21,$H$22,$H$23,$H$24,$H$25,$H$26-$H$32,$H$27,$H$28,$H$29,$H$30,$H$31,$C$8:$C$10,$D$8:$D$10,$E$8:$E$10)</f>
        <v>3.1214318246473081</v>
      </c>
      <c r="L25" s="127">
        <f>HTheta(H21,H22,H23,H24,H25,H26,H27,H28,H29,H30,H31,C8:C10,D8:D10,E8:E10)</f>
        <v>-2.5551921488999545</v>
      </c>
      <c r="M25" s="128">
        <f>(K25-H34)/H32</f>
        <v>-2.5311887837276004</v>
      </c>
    </row>
    <row r="26" spans="2:13" x14ac:dyDescent="0.2">
      <c r="D26" s="1" t="s">
        <v>58</v>
      </c>
      <c r="G26" s="1" t="s">
        <v>24</v>
      </c>
      <c r="H26" s="5">
        <v>1.6</v>
      </c>
      <c r="J26" s="49"/>
      <c r="K26" s="51"/>
      <c r="L26" s="50"/>
      <c r="M26" s="17"/>
    </row>
    <row r="27" spans="2:13" x14ac:dyDescent="0.2">
      <c r="G27" s="1" t="s">
        <v>25</v>
      </c>
      <c r="H27" s="5">
        <v>100</v>
      </c>
      <c r="J27" s="49"/>
      <c r="K27" s="44" t="s">
        <v>68</v>
      </c>
      <c r="L27" s="48">
        <f>L23/100</f>
        <v>0.27827537669010138</v>
      </c>
      <c r="M27" s="45">
        <f>M23/100</f>
        <v>0.27524975346793207</v>
      </c>
    </row>
    <row r="28" spans="2:13" x14ac:dyDescent="0.2">
      <c r="G28" s="1" t="s">
        <v>26</v>
      </c>
      <c r="H28" s="5">
        <v>100</v>
      </c>
      <c r="J28" s="49"/>
      <c r="K28" s="141" t="s">
        <v>69</v>
      </c>
      <c r="L28" s="125">
        <f>L24/100</f>
        <v>0.35594143674854561</v>
      </c>
      <c r="M28" s="40">
        <f>M24/100</f>
        <v>0.39954646403117522</v>
      </c>
    </row>
    <row r="29" spans="2:13" x14ac:dyDescent="0.2">
      <c r="G29" s="1" t="s">
        <v>27</v>
      </c>
      <c r="H29" s="5">
        <v>0.02</v>
      </c>
      <c r="J29" s="139"/>
      <c r="K29" s="142" t="s">
        <v>70</v>
      </c>
      <c r="L29" s="136">
        <f>L25/365</f>
        <v>-7.0005264353423411E-3</v>
      </c>
      <c r="M29" s="130">
        <f>M25/365</f>
        <v>-6.9347637910345218E-3</v>
      </c>
    </row>
    <row r="30" spans="2:13" x14ac:dyDescent="0.2">
      <c r="G30" s="1" t="s">
        <v>33</v>
      </c>
      <c r="H30" s="5">
        <v>0.02</v>
      </c>
      <c r="J30" s="137"/>
      <c r="K30" s="50"/>
      <c r="L30" s="50"/>
      <c r="M30" s="32"/>
    </row>
    <row r="31" spans="2:13" x14ac:dyDescent="0.2">
      <c r="G31" s="1" t="s">
        <v>29</v>
      </c>
      <c r="H31" s="5" t="s">
        <v>1</v>
      </c>
      <c r="J31" s="137"/>
      <c r="K31" s="50"/>
      <c r="L31" s="52"/>
      <c r="M31" s="138"/>
    </row>
    <row r="32" spans="2:13" x14ac:dyDescent="0.2">
      <c r="G32" s="1" t="s">
        <v>48</v>
      </c>
      <c r="H32" s="5">
        <v>1.0000000000000001E-5</v>
      </c>
      <c r="J32" s="137"/>
      <c r="K32" s="51"/>
      <c r="L32" s="50"/>
      <c r="M32" s="32"/>
    </row>
    <row r="33" spans="7:13" x14ac:dyDescent="0.2">
      <c r="J33" s="30"/>
      <c r="K33" s="43"/>
      <c r="L33" s="32"/>
      <c r="M33" s="32"/>
    </row>
    <row r="34" spans="7:13" x14ac:dyDescent="0.2">
      <c r="G34" s="25" t="s">
        <v>62</v>
      </c>
      <c r="H34" s="119">
        <f>Heston_DivEu_Trap($H$21,$H$22,$H$23,$H$24,$H$25,$H$26,$H$27,$H$28,$H$29,$H$30,$H$31,$C$8:$C$10,$D$8:$D$10,$E$8:$E$10)</f>
        <v>3.1214571365351453</v>
      </c>
      <c r="I34" s="24"/>
      <c r="J34" s="30"/>
      <c r="K34" s="43"/>
      <c r="L34" s="32"/>
      <c r="M34" s="32"/>
    </row>
    <row r="35" spans="7:13" x14ac:dyDescent="0.2">
      <c r="G35" s="25" t="s">
        <v>57</v>
      </c>
      <c r="H35" s="119">
        <f>Heston_DivEu_GL10($H$21,$H$22,$H$23,$H$24,$H$25,$H$26,$H$27,$H$28,$H$29,$H$30,$H$31,$C$8:$C$10,$D$8:$D$10,$E$8:$E$10)</f>
        <v>3.5652103143394349</v>
      </c>
      <c r="I35" s="24"/>
      <c r="J35" s="30"/>
      <c r="K35" s="43"/>
      <c r="L35" s="32"/>
      <c r="M35" s="32"/>
    </row>
    <row r="36" spans="7:13" x14ac:dyDescent="0.2">
      <c r="G36" s="25"/>
      <c r="H36" s="24"/>
      <c r="I36" s="24"/>
      <c r="J36" s="30"/>
      <c r="K36" s="43"/>
      <c r="L36" s="32"/>
      <c r="M36" s="32"/>
    </row>
    <row r="37" spans="7:13" x14ac:dyDescent="0.2">
      <c r="K37" s="27"/>
    </row>
    <row r="38" spans="7:13" x14ac:dyDescent="0.2">
      <c r="G38" s="161" t="s">
        <v>77</v>
      </c>
      <c r="H38" s="161"/>
      <c r="J38" s="162" t="s">
        <v>75</v>
      </c>
      <c r="K38" s="162"/>
      <c r="L38" s="162"/>
      <c r="M38" s="162"/>
    </row>
    <row r="40" spans="7:13" x14ac:dyDescent="0.2">
      <c r="G40" s="20" t="s">
        <v>15</v>
      </c>
      <c r="H40" s="20" t="s">
        <v>17</v>
      </c>
      <c r="I40" s="21"/>
      <c r="J40" s="34"/>
      <c r="K40" s="36" t="s">
        <v>71</v>
      </c>
      <c r="L40" s="36" t="s">
        <v>101</v>
      </c>
      <c r="M40" s="37" t="s">
        <v>102</v>
      </c>
    </row>
    <row r="41" spans="7:13" x14ac:dyDescent="0.2">
      <c r="G41" s="1" t="s">
        <v>26</v>
      </c>
      <c r="H41" s="5">
        <v>100</v>
      </c>
      <c r="J41" s="38" t="s">
        <v>63</v>
      </c>
      <c r="K41" s="31">
        <f>GC_Div($H$41+$H$49,$H$42,$H$43,$H$44,$H$45,$H$46,H$47,H$48,C$8:C$10,D$8:D$10,E$8:E$10)</f>
        <v>8.1217721344661449</v>
      </c>
      <c r="L41" s="31">
        <f>GC_DeltaDiv($H$41,$H$42,$H$43,$H$44,$H$45,$H$46,$H$47,$H$48,$C$8:$C$10,$D$8:$D$10,$E$8:$E$10)</f>
        <v>0.46569213734457121</v>
      </c>
      <c r="M41" s="39">
        <f>(K41-$H$51)/$H$49</f>
        <v>0.44791036106772703</v>
      </c>
    </row>
    <row r="42" spans="7:13" x14ac:dyDescent="0.2">
      <c r="G42" s="1" t="s">
        <v>25</v>
      </c>
      <c r="H42" s="5">
        <v>100</v>
      </c>
      <c r="J42" s="38" t="s">
        <v>64</v>
      </c>
      <c r="K42" s="31">
        <f>GC_Div($H$41+2*$H$49,$H$42,$H$43,$H$44,$H$45,$H$46,H$47,H$48,C$8:C$10,D$8:D$10,E$8:E$10)</f>
        <v>8.1217766135710718</v>
      </c>
      <c r="L42" s="31">
        <f>GC_GammaDiv($H$41,$H$42,$H$43,$H$44,$H$45,$H$46,$H$47,$C$8:$C$10,$D$8:$D$10,$E$8:$E$10)</f>
        <v>1.3140388129772404E-2</v>
      </c>
      <c r="M42" s="39">
        <f>(K42-2*K41+H51)/$H$49^2</f>
        <v>1.3162804179955854E-2</v>
      </c>
    </row>
    <row r="43" spans="7:13" x14ac:dyDescent="0.2">
      <c r="G43" s="1" t="s">
        <v>60</v>
      </c>
      <c r="H43" s="24">
        <f>H9/12</f>
        <v>1.6666666666666668E-3</v>
      </c>
      <c r="I43" s="24"/>
      <c r="J43" s="38" t="s">
        <v>65</v>
      </c>
      <c r="K43" s="24"/>
      <c r="L43" s="48">
        <f>L51/SQRT(12)</f>
        <v>40.211784785906367</v>
      </c>
      <c r="M43" s="45">
        <f>M51/SQRT(12)</f>
        <v>40.211889578133132</v>
      </c>
    </row>
    <row r="44" spans="7:13" x14ac:dyDescent="0.2">
      <c r="G44" s="1" t="s">
        <v>61</v>
      </c>
      <c r="H44" s="5">
        <f>H10*12</f>
        <v>19.200000000000003</v>
      </c>
      <c r="J44" s="140" t="s">
        <v>66</v>
      </c>
      <c r="K44" s="146"/>
      <c r="L44" s="125">
        <f>L52/12</f>
        <v>48.133744637280067</v>
      </c>
      <c r="M44" s="40">
        <f>M52/12</f>
        <v>48.690793025111624</v>
      </c>
    </row>
    <row r="45" spans="7:13" x14ac:dyDescent="0.2">
      <c r="G45" s="1" t="s">
        <v>59</v>
      </c>
      <c r="H45" s="24">
        <f>H11/SQRT(12)</f>
        <v>8.6602540378443865E-2</v>
      </c>
      <c r="I45" s="24"/>
      <c r="J45" s="143" t="s">
        <v>67</v>
      </c>
      <c r="K45" s="147"/>
      <c r="L45" s="127">
        <f>L53*12</f>
        <v>-4.5548103767158974</v>
      </c>
      <c r="M45" s="128">
        <f>M53*12</f>
        <v>-4.5548108218440566</v>
      </c>
    </row>
    <row r="46" spans="7:13" x14ac:dyDescent="0.2">
      <c r="G46" s="1" t="s">
        <v>53</v>
      </c>
      <c r="H46" s="5">
        <v>-1.2</v>
      </c>
      <c r="J46" s="49"/>
      <c r="K46" s="48"/>
      <c r="L46" s="48"/>
      <c r="M46" s="45"/>
    </row>
    <row r="47" spans="7:13" x14ac:dyDescent="0.2">
      <c r="G47" s="1" t="s">
        <v>54</v>
      </c>
      <c r="H47" s="5">
        <v>2.8</v>
      </c>
      <c r="J47" s="49"/>
      <c r="K47" s="148" t="s">
        <v>68</v>
      </c>
      <c r="L47" s="48">
        <f>L43/100</f>
        <v>0.40211784785906368</v>
      </c>
      <c r="M47" s="134">
        <f>M43/100</f>
        <v>0.40211889578133131</v>
      </c>
    </row>
    <row r="48" spans="7:13" x14ac:dyDescent="0.2">
      <c r="G48" s="1" t="s">
        <v>29</v>
      </c>
      <c r="H48" s="5" t="s">
        <v>1</v>
      </c>
      <c r="J48" s="49"/>
      <c r="K48" s="149" t="s">
        <v>69</v>
      </c>
      <c r="L48" s="125">
        <f>L44/100</f>
        <v>0.48133744637280068</v>
      </c>
      <c r="M48" s="135">
        <f>M44/100</f>
        <v>0.48690793025111623</v>
      </c>
    </row>
    <row r="49" spans="7:13" x14ac:dyDescent="0.2">
      <c r="G49" s="1" t="s">
        <v>48</v>
      </c>
      <c r="H49" s="5">
        <v>1.0000000000000001E-5</v>
      </c>
      <c r="J49" s="49"/>
      <c r="K49" s="150" t="s">
        <v>70</v>
      </c>
      <c r="L49" s="145">
        <f>L45/365</f>
        <v>-1.2478932538947664E-2</v>
      </c>
      <c r="M49" s="128">
        <f>M45/365</f>
        <v>-1.2478933758476867E-2</v>
      </c>
    </row>
    <row r="50" spans="7:13" x14ac:dyDescent="0.2">
      <c r="J50" s="49"/>
      <c r="K50" s="24"/>
      <c r="M50" s="41"/>
    </row>
    <row r="51" spans="7:13" x14ac:dyDescent="0.2">
      <c r="G51" s="25" t="s">
        <v>52</v>
      </c>
      <c r="H51" s="119">
        <f>GC_Div(H41,H42,H43,H44,H45,H46,H47,H48,C8:C10,D8:D10,E8:E10)</f>
        <v>8.1217676553625342</v>
      </c>
      <c r="I51" s="24"/>
      <c r="J51" s="47" t="s">
        <v>72</v>
      </c>
      <c r="K51" s="48">
        <f>GC_Div($H$41,$H$42,$H$43,$H$44,$H$45+$H$49,$H$46,H$47,H$48,C$8:C$10,D$8:D$10,E$8:E$10)</f>
        <v>8.1231606360788877</v>
      </c>
      <c r="L51" s="48">
        <f>GC_VegaDiv($H$41,$H$42,$H$43,$H$44,$H$45,$H$46,$H$47,$C$8:$C$10,$D$8:$D$10,$E$8:$E$10)</f>
        <v>139.29770862443002</v>
      </c>
      <c r="M51" s="45">
        <f>(K51-H51)/H49</f>
        <v>139.29807163535202</v>
      </c>
    </row>
    <row r="52" spans="7:13" x14ac:dyDescent="0.2">
      <c r="J52" s="140" t="s">
        <v>73</v>
      </c>
      <c r="K52" s="125">
        <f>GC_Div($H$41,$H$42,$H$43+$H$49,$H$44,$H$45,$H$46,H$47,H$48,C$14:C$16,D$14:D$16,E$14:E$16)</f>
        <v>8.1276105505255476</v>
      </c>
      <c r="L52" s="125">
        <f>GC_RhoDiv($H$41,$H$42,$H$43,$H$44,$H$45,$H$46,$H$47,$H$48,$C$14:$C$16,$D$14:$D$16,$E$14:$E$16)</f>
        <v>577.60493564736078</v>
      </c>
      <c r="M52" s="40">
        <f>(K52-H51)/H49</f>
        <v>584.28951630133952</v>
      </c>
    </row>
    <row r="53" spans="7:13" x14ac:dyDescent="0.2">
      <c r="J53" s="144" t="s">
        <v>74</v>
      </c>
      <c r="K53" s="136">
        <f>GC_Div($H$41,$H$42,$H$43,$H$44-$H$49,$H$45,$H$46,H$47,H$48,C$8:C$10,D$8:D$10,E$8:E$10)</f>
        <v>8.1217638596868493</v>
      </c>
      <c r="L53" s="136">
        <f>GC_ThetaDiv($H$41,$H$42,$H$43,$H$44,$H$45,$H$46,$H$47,$H$48,$C$8:$C$10,$D$8:$D$10,$E$8:$E$10)</f>
        <v>-0.37956753139299149</v>
      </c>
      <c r="M53" s="130">
        <f>(K53-H51)/H49</f>
        <v>-0.37956756848700474</v>
      </c>
    </row>
  </sheetData>
  <mergeCells count="9">
    <mergeCell ref="G38:H38"/>
    <mergeCell ref="J38:M38"/>
    <mergeCell ref="B6:E6"/>
    <mergeCell ref="B12:E12"/>
    <mergeCell ref="J4:M4"/>
    <mergeCell ref="G4:H4"/>
    <mergeCell ref="G18:H18"/>
    <mergeCell ref="J18:M18"/>
    <mergeCell ref="B18:E18"/>
  </mergeCells>
  <dataValidations count="2">
    <dataValidation type="list" allowBlank="1" showInputMessage="1" showErrorMessage="1" sqref="H31:I31 H12:I12 H48:I48">
      <formula1>"Call,Put"</formula1>
    </dataValidation>
    <dataValidation type="decimal" operator="greaterThan" showInputMessage="1" showErrorMessage="1" sqref="H7:H11 H13 H21:H30 H32 H41:H47 H49 C8:E10 C14:E16 C20:E22">
      <formula1>0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Q3Refresh">
                <anchor moveWithCells="1" sizeWithCells="1">
                  <from>
                    <xdr:col>13</xdr:col>
                    <xdr:colOff>127000</xdr:colOff>
                    <xdr:row>3</xdr:row>
                    <xdr:rowOff>12700</xdr:rowOff>
                  </from>
                  <to>
                    <xdr:col>15</xdr:col>
                    <xdr:colOff>228600</xdr:colOff>
                    <xdr:row>5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J58"/>
  <sheetViews>
    <sheetView zoomScale="70" zoomScaleNormal="70" zoomScalePageLayoutView="70" workbookViewId="0">
      <selection activeCell="T37" sqref="T37"/>
    </sheetView>
  </sheetViews>
  <sheetFormatPr baseColWidth="10" defaultColWidth="8.83203125" defaultRowHeight="16" x14ac:dyDescent="0.2"/>
  <cols>
    <col min="1" max="1" width="8.83203125" style="1"/>
    <col min="2" max="2" width="12.6640625" style="1" bestFit="1" customWidth="1"/>
    <col min="3" max="3" width="8" style="5" bestFit="1" customWidth="1"/>
    <col min="4" max="4" width="8.83203125" style="1"/>
    <col min="5" max="5" width="15.83203125" style="121" bestFit="1" customWidth="1"/>
    <col min="6" max="6" width="14.5" style="5" bestFit="1" customWidth="1"/>
    <col min="7" max="10" width="12.83203125" style="5" bestFit="1" customWidth="1"/>
    <col min="11" max="16384" width="8.83203125" style="1"/>
  </cols>
  <sheetData>
    <row r="1" spans="1:10" ht="18" x14ac:dyDescent="0.25">
      <c r="A1" s="9" t="s">
        <v>78</v>
      </c>
    </row>
    <row r="2" spans="1:10" ht="15.75" x14ac:dyDescent="0.25">
      <c r="A2" s="25"/>
    </row>
    <row r="3" spans="1:10" ht="15.75" x14ac:dyDescent="0.25">
      <c r="A3" s="25"/>
    </row>
    <row r="4" spans="1:10" ht="15.75" x14ac:dyDescent="0.25">
      <c r="A4" s="25"/>
    </row>
    <row r="5" spans="1:10" ht="15.75" x14ac:dyDescent="0.25">
      <c r="B5" s="111" t="s">
        <v>15</v>
      </c>
      <c r="C5" s="111" t="s">
        <v>17</v>
      </c>
      <c r="E5" s="166" t="s">
        <v>98</v>
      </c>
      <c r="F5" s="166"/>
      <c r="G5" s="166"/>
      <c r="H5" s="166"/>
      <c r="I5" s="166"/>
      <c r="J5" s="166"/>
    </row>
    <row r="6" spans="1:10" ht="15.75" x14ac:dyDescent="0.25">
      <c r="B6" s="25" t="s">
        <v>79</v>
      </c>
      <c r="C6" s="5">
        <v>80</v>
      </c>
      <c r="E6" s="112" t="s">
        <v>97</v>
      </c>
      <c r="F6" s="118" t="s">
        <v>91</v>
      </c>
      <c r="G6" s="118" t="s">
        <v>87</v>
      </c>
      <c r="H6" s="118" t="s">
        <v>88</v>
      </c>
      <c r="I6" s="118" t="s">
        <v>89</v>
      </c>
      <c r="J6" s="118" t="s">
        <v>90</v>
      </c>
    </row>
    <row r="7" spans="1:10" ht="16.5" thickBot="1" x14ac:dyDescent="0.3">
      <c r="B7" s="25" t="s">
        <v>19</v>
      </c>
      <c r="C7" s="5">
        <v>80</v>
      </c>
      <c r="E7" s="114" t="s">
        <v>94</v>
      </c>
      <c r="F7" s="115">
        <f>AdjBarrier($C$6,$C$8,$C$9,$C$11,F$6)</f>
        <v>75</v>
      </c>
      <c r="G7" s="122">
        <f t="shared" ref="G7:J7" si="0">AdjBarrier($C$6,$C$8,$C$9,$C$11,G$6)</f>
        <v>74.836779488659872</v>
      </c>
      <c r="H7" s="122">
        <f t="shared" si="0"/>
        <v>74.203771396723937</v>
      </c>
      <c r="I7" s="122">
        <f t="shared" si="0"/>
        <v>72.908912224810422</v>
      </c>
      <c r="J7" s="122">
        <f t="shared" si="0"/>
        <v>70.712641861566269</v>
      </c>
    </row>
    <row r="8" spans="1:10" ht="16.5" thickTop="1" x14ac:dyDescent="0.25">
      <c r="B8" s="25" t="s">
        <v>80</v>
      </c>
      <c r="C8" s="5">
        <v>75</v>
      </c>
      <c r="E8" s="113" t="s">
        <v>84</v>
      </c>
      <c r="F8" s="116"/>
      <c r="G8" s="117"/>
      <c r="H8" s="117"/>
      <c r="I8" s="117"/>
      <c r="J8" s="117"/>
    </row>
    <row r="9" spans="1:10" ht="15.75" x14ac:dyDescent="0.25">
      <c r="B9" s="25" t="s">
        <v>81</v>
      </c>
      <c r="C9" s="5">
        <v>1.5</v>
      </c>
      <c r="E9" s="121">
        <v>20</v>
      </c>
      <c r="F9" s="24">
        <f t="shared" ref="F9:J24" si="1">TianBinDBarrier($C$6,$C$7,F$7,$C$9,$C$10,$C$11,$E9,$C$12,$C$13)</f>
        <v>5.2095681839143415</v>
      </c>
      <c r="G9" s="24">
        <f t="shared" si="1"/>
        <v>10.420857411354884</v>
      </c>
      <c r="H9" s="24">
        <f t="shared" si="1"/>
        <v>10.731815581478857</v>
      </c>
      <c r="I9" s="24">
        <f t="shared" si="1"/>
        <v>11.313696455990883</v>
      </c>
      <c r="J9" s="24">
        <f t="shared" si="1"/>
        <v>12.255586014643036</v>
      </c>
    </row>
    <row r="10" spans="1:10" ht="15.75" x14ac:dyDescent="0.25">
      <c r="B10" s="25" t="s">
        <v>82</v>
      </c>
      <c r="C10" s="5">
        <v>0.03</v>
      </c>
      <c r="E10" s="121">
        <v>40</v>
      </c>
      <c r="F10" s="24">
        <f t="shared" si="1"/>
        <v>5.1826169288631352</v>
      </c>
      <c r="G10" s="24">
        <f t="shared" si="1"/>
        <v>9.1851024573749847</v>
      </c>
      <c r="H10" s="24">
        <f t="shared" si="1"/>
        <v>9.5760757715671563</v>
      </c>
      <c r="I10" s="24">
        <f t="shared" si="1"/>
        <v>10.327566442978226</v>
      </c>
      <c r="J10" s="24">
        <f t="shared" si="1"/>
        <v>11.413391629717058</v>
      </c>
    </row>
    <row r="11" spans="1:10" ht="15.75" x14ac:dyDescent="0.25">
      <c r="B11" s="25" t="s">
        <v>83</v>
      </c>
      <c r="C11" s="5">
        <v>0.35</v>
      </c>
      <c r="E11" s="121">
        <v>60</v>
      </c>
      <c r="F11" s="24">
        <f t="shared" si="1"/>
        <v>5.1837911133156442</v>
      </c>
      <c r="G11" s="24">
        <f t="shared" si="1"/>
        <v>8.5904184943160971</v>
      </c>
      <c r="H11" s="24">
        <f t="shared" si="1"/>
        <v>9.0114355806611677</v>
      </c>
      <c r="I11" s="24">
        <f t="shared" si="1"/>
        <v>9.8085384907332358</v>
      </c>
      <c r="J11" s="24">
        <f t="shared" si="1"/>
        <v>10.994456227944909</v>
      </c>
    </row>
    <row r="12" spans="1:10" ht="15.75" x14ac:dyDescent="0.25">
      <c r="B12" s="25" t="s">
        <v>96</v>
      </c>
      <c r="C12" s="5" t="s">
        <v>86</v>
      </c>
      <c r="E12" s="121">
        <v>80</v>
      </c>
      <c r="F12" s="24">
        <f t="shared" si="1"/>
        <v>5.1869779731989407</v>
      </c>
      <c r="G12" s="24">
        <f t="shared" si="1"/>
        <v>8.2131260002404414</v>
      </c>
      <c r="H12" s="24">
        <f t="shared" si="1"/>
        <v>8.6489501804672884</v>
      </c>
      <c r="I12" s="24">
        <f t="shared" si="1"/>
        <v>9.4728131027086153</v>
      </c>
      <c r="J12" s="24">
        <f t="shared" si="1"/>
        <v>10.73256251826815</v>
      </c>
    </row>
    <row r="13" spans="1:10" ht="15.75" x14ac:dyDescent="0.25">
      <c r="B13" s="25" t="s">
        <v>85</v>
      </c>
      <c r="C13" s="5" t="s">
        <v>1</v>
      </c>
      <c r="E13" s="121">
        <v>100</v>
      </c>
      <c r="F13" s="24">
        <f t="shared" si="1"/>
        <v>5.1877841752346443</v>
      </c>
      <c r="G13" s="24">
        <f t="shared" si="1"/>
        <v>7.9431791683593671</v>
      </c>
      <c r="H13" s="24">
        <f t="shared" si="1"/>
        <v>8.3869572701566053</v>
      </c>
      <c r="I13" s="24">
        <f t="shared" si="1"/>
        <v>9.2444963513162275</v>
      </c>
      <c r="J13" s="24">
        <f t="shared" si="1"/>
        <v>10.53182877215408</v>
      </c>
    </row>
    <row r="14" spans="1:10" ht="15.75" x14ac:dyDescent="0.25">
      <c r="B14" s="25"/>
      <c r="E14" s="121">
        <v>120</v>
      </c>
      <c r="F14" s="24">
        <f t="shared" si="1"/>
        <v>5.1845126016511101</v>
      </c>
      <c r="G14" s="24">
        <f t="shared" si="1"/>
        <v>7.7358694145960891</v>
      </c>
      <c r="H14" s="24">
        <f t="shared" si="1"/>
        <v>8.1897347431984908</v>
      </c>
      <c r="I14" s="24">
        <f t="shared" si="1"/>
        <v>9.0722020601861626</v>
      </c>
      <c r="J14" s="24">
        <f t="shared" si="1"/>
        <v>10.388198004564696</v>
      </c>
    </row>
    <row r="15" spans="1:10" x14ac:dyDescent="0.2">
      <c r="E15" s="121">
        <v>140</v>
      </c>
      <c r="F15" s="24">
        <f t="shared" si="1"/>
        <v>5.1826883500235494</v>
      </c>
      <c r="G15" s="24">
        <f t="shared" si="1"/>
        <v>7.5723972029962052</v>
      </c>
      <c r="H15" s="24">
        <f t="shared" si="1"/>
        <v>8.0359596241003874</v>
      </c>
      <c r="I15" s="24">
        <f t="shared" si="1"/>
        <v>8.9342304768937524</v>
      </c>
      <c r="J15" s="24">
        <f t="shared" si="1"/>
        <v>10.277176169895794</v>
      </c>
    </row>
    <row r="16" spans="1:10" x14ac:dyDescent="0.2">
      <c r="E16" s="121">
        <v>160</v>
      </c>
      <c r="F16" s="24">
        <f t="shared" si="1"/>
        <v>5.1816770719764182</v>
      </c>
      <c r="G16" s="24">
        <f t="shared" si="1"/>
        <v>7.4391398023996871</v>
      </c>
      <c r="H16" s="24">
        <f t="shared" si="1"/>
        <v>7.9114967633165616</v>
      </c>
      <c r="I16" s="24">
        <f t="shared" si="1"/>
        <v>8.8179076256660665</v>
      </c>
      <c r="J16" s="24">
        <f t="shared" si="1"/>
        <v>10.182530307023963</v>
      </c>
    </row>
    <row r="17" spans="5:10" x14ac:dyDescent="0.2">
      <c r="E17" s="121">
        <v>180</v>
      </c>
      <c r="F17" s="24">
        <f t="shared" si="1"/>
        <v>5.1812764489901291</v>
      </c>
      <c r="G17" s="24">
        <f t="shared" si="1"/>
        <v>7.328998436338714</v>
      </c>
      <c r="H17" s="24">
        <f t="shared" si="1"/>
        <v>7.8069041205128258</v>
      </c>
      <c r="I17" s="24">
        <f t="shared" si="1"/>
        <v>8.720613736534446</v>
      </c>
      <c r="J17" s="24">
        <f t="shared" si="1"/>
        <v>10.100103676995243</v>
      </c>
    </row>
    <row r="18" spans="5:10" x14ac:dyDescent="0.2">
      <c r="E18" s="121">
        <v>200</v>
      </c>
      <c r="F18" s="24">
        <f t="shared" si="1"/>
        <v>5.1816221382868273</v>
      </c>
      <c r="G18" s="24">
        <f t="shared" si="1"/>
        <v>7.2352125708097823</v>
      </c>
      <c r="H18" s="24">
        <f t="shared" si="1"/>
        <v>7.7174101909813251</v>
      </c>
      <c r="I18" s="24">
        <f t="shared" si="1"/>
        <v>8.6388652099318772</v>
      </c>
      <c r="J18" s="24">
        <f t="shared" si="1"/>
        <v>10.03167048322195</v>
      </c>
    </row>
    <row r="19" spans="5:10" x14ac:dyDescent="0.2">
      <c r="E19" s="121">
        <v>220</v>
      </c>
      <c r="F19" s="24">
        <f t="shared" si="1"/>
        <v>5.1819849759699075</v>
      </c>
      <c r="G19" s="24">
        <f t="shared" si="1"/>
        <v>7.1537774234345282</v>
      </c>
      <c r="H19" s="24">
        <f t="shared" si="1"/>
        <v>7.6386034558822482</v>
      </c>
      <c r="I19" s="24">
        <f t="shared" si="1"/>
        <v>8.5693628662208585</v>
      </c>
      <c r="J19" s="24">
        <f t="shared" si="1"/>
        <v>9.975189729962036</v>
      </c>
    </row>
    <row r="20" spans="5:10" x14ac:dyDescent="0.2">
      <c r="E20" s="121">
        <v>240</v>
      </c>
      <c r="F20" s="24">
        <f t="shared" si="1"/>
        <v>5.1823562297494563</v>
      </c>
      <c r="G20" s="24">
        <f t="shared" si="1"/>
        <v>7.0821995210826678</v>
      </c>
      <c r="H20" s="24">
        <f t="shared" si="1"/>
        <v>7.5689329524221893</v>
      </c>
      <c r="I20" s="24">
        <f t="shared" si="1"/>
        <v>8.5079978123615074</v>
      </c>
      <c r="J20" s="24">
        <f t="shared" si="1"/>
        <v>9.9247770694970772</v>
      </c>
    </row>
    <row r="21" spans="5:10" x14ac:dyDescent="0.2">
      <c r="E21" s="121">
        <v>260</v>
      </c>
      <c r="F21" s="24">
        <f t="shared" si="1"/>
        <v>5.182729781163073</v>
      </c>
      <c r="G21" s="24">
        <f t="shared" si="1"/>
        <v>7.0186744133565186</v>
      </c>
      <c r="H21" s="24">
        <f t="shared" si="1"/>
        <v>7.5071697233271317</v>
      </c>
      <c r="I21" s="24">
        <f t="shared" si="1"/>
        <v>8.4533124516059672</v>
      </c>
      <c r="J21" s="24">
        <f t="shared" si="1"/>
        <v>9.878320574470381</v>
      </c>
    </row>
    <row r="22" spans="5:10" x14ac:dyDescent="0.2">
      <c r="E22" s="121">
        <v>280</v>
      </c>
      <c r="F22" s="24">
        <f t="shared" si="1"/>
        <v>5.1829006008639844</v>
      </c>
      <c r="G22" s="24">
        <f t="shared" si="1"/>
        <v>6.9607161218088445</v>
      </c>
      <c r="H22" s="24">
        <f t="shared" si="1"/>
        <v>7.4519190627555174</v>
      </c>
      <c r="I22" s="24">
        <f t="shared" si="1"/>
        <v>8.4033760037619469</v>
      </c>
      <c r="J22" s="24">
        <f t="shared" si="1"/>
        <v>9.8356339216727093</v>
      </c>
    </row>
    <row r="23" spans="5:10" x14ac:dyDescent="0.2">
      <c r="E23" s="121">
        <v>300</v>
      </c>
      <c r="F23" s="24">
        <f t="shared" si="1"/>
        <v>5.1823901437588704</v>
      </c>
      <c r="G23" s="24">
        <f t="shared" si="1"/>
        <v>6.9084626464995145</v>
      </c>
      <c r="H23" s="24">
        <f t="shared" si="1"/>
        <v>7.4024522210007744</v>
      </c>
      <c r="I23" s="24">
        <f t="shared" si="1"/>
        <v>8.3578844239064516</v>
      </c>
      <c r="J23" s="24">
        <f t="shared" si="1"/>
        <v>9.7970229259049884</v>
      </c>
    </row>
    <row r="24" spans="5:10" x14ac:dyDescent="0.2">
      <c r="E24" s="121">
        <v>320</v>
      </c>
      <c r="F24" s="24">
        <f t="shared" si="1"/>
        <v>5.1819935368369316</v>
      </c>
      <c r="G24" s="24">
        <f t="shared" si="1"/>
        <v>6.8610329638166547</v>
      </c>
      <c r="H24" s="24">
        <f t="shared" si="1"/>
        <v>7.3580002302351115</v>
      </c>
      <c r="I24" s="24">
        <f t="shared" si="1"/>
        <v>8.3165671582941485</v>
      </c>
      <c r="J24" s="24">
        <f t="shared" si="1"/>
        <v>9.7643805926022758</v>
      </c>
    </row>
    <row r="25" spans="5:10" x14ac:dyDescent="0.2">
      <c r="E25" s="121">
        <v>340</v>
      </c>
      <c r="F25" s="24">
        <f t="shared" ref="F25:J58" si="2">TianBinDBarrier($C$6,$C$7,F$7,$C$9,$C$10,$C$11,$E25,$C$12,$C$13)</f>
        <v>5.181686641397631</v>
      </c>
      <c r="G25" s="24">
        <f t="shared" si="2"/>
        <v>6.817725714582302</v>
      </c>
      <c r="H25" s="24">
        <f t="shared" si="2"/>
        <v>7.3173160945634788</v>
      </c>
      <c r="I25" s="24">
        <f t="shared" si="2"/>
        <v>8.2788231203455442</v>
      </c>
      <c r="J25" s="24">
        <f t="shared" si="2"/>
        <v>9.7344172511961471</v>
      </c>
    </row>
    <row r="26" spans="5:10" x14ac:dyDescent="0.2">
      <c r="E26" s="121">
        <v>360</v>
      </c>
      <c r="F26" s="24">
        <f t="shared" si="2"/>
        <v>5.1814511978665836</v>
      </c>
      <c r="G26" s="24">
        <f t="shared" si="2"/>
        <v>6.7779746572695139</v>
      </c>
      <c r="H26" s="24">
        <f t="shared" si="2"/>
        <v>7.2798974984317484</v>
      </c>
      <c r="I26" s="24">
        <f t="shared" si="2"/>
        <v>8.2451963548489307</v>
      </c>
      <c r="J26" s="24">
        <f t="shared" si="2"/>
        <v>9.7066084514388997</v>
      </c>
    </row>
    <row r="27" spans="5:10" x14ac:dyDescent="0.2">
      <c r="E27" s="121">
        <v>380</v>
      </c>
      <c r="F27" s="24">
        <f t="shared" si="2"/>
        <v>5.1812731917616448</v>
      </c>
      <c r="G27" s="24">
        <f t="shared" si="2"/>
        <v>6.7415057304207515</v>
      </c>
      <c r="H27" s="24">
        <f t="shared" si="2"/>
        <v>7.2453308195916044</v>
      </c>
      <c r="I27" s="24">
        <f t="shared" si="2"/>
        <v>8.2141279667644298</v>
      </c>
      <c r="J27" s="24">
        <f t="shared" si="2"/>
        <v>9.6801536251340465</v>
      </c>
    </row>
    <row r="28" spans="5:10" x14ac:dyDescent="0.2">
      <c r="E28" s="121">
        <v>400</v>
      </c>
      <c r="F28" s="24">
        <f t="shared" si="2"/>
        <v>5.1811736969705828</v>
      </c>
      <c r="G28" s="24">
        <f t="shared" si="2"/>
        <v>6.7079470211621217</v>
      </c>
      <c r="H28" s="24">
        <f t="shared" si="2"/>
        <v>7.2133755459800994</v>
      </c>
      <c r="I28" s="24">
        <f t="shared" si="2"/>
        <v>8.1852524003012572</v>
      </c>
      <c r="J28" s="24">
        <f t="shared" si="2"/>
        <v>9.6550000493705159</v>
      </c>
    </row>
    <row r="29" spans="5:10" x14ac:dyDescent="0.2">
      <c r="E29" s="121">
        <v>420</v>
      </c>
      <c r="F29" s="24">
        <f t="shared" si="2"/>
        <v>5.1812758330062625</v>
      </c>
      <c r="G29" s="24">
        <f t="shared" si="2"/>
        <v>6.6767117670916658</v>
      </c>
      <c r="H29" s="24">
        <f t="shared" si="2"/>
        <v>7.1830275189210084</v>
      </c>
      <c r="I29" s="24">
        <f t="shared" si="2"/>
        <v>8.1583260396657984</v>
      </c>
      <c r="J29" s="24">
        <f t="shared" si="2"/>
        <v>9.6315447739002273</v>
      </c>
    </row>
    <row r="30" spans="5:10" x14ac:dyDescent="0.2">
      <c r="E30" s="121">
        <v>440</v>
      </c>
      <c r="F30" s="24">
        <f t="shared" si="2"/>
        <v>5.1813784941817378</v>
      </c>
      <c r="G30" s="24">
        <f t="shared" si="2"/>
        <v>6.6475439249358361</v>
      </c>
      <c r="H30" s="24">
        <f t="shared" si="2"/>
        <v>7.1547147888146414</v>
      </c>
      <c r="I30" s="24">
        <f t="shared" si="2"/>
        <v>8.1331034123154122</v>
      </c>
      <c r="J30" s="24">
        <f t="shared" si="2"/>
        <v>9.6100644775207389</v>
      </c>
    </row>
    <row r="31" spans="5:10" x14ac:dyDescent="0.2">
      <c r="E31" s="121">
        <v>460</v>
      </c>
      <c r="F31" s="24">
        <f t="shared" si="2"/>
        <v>5.1814815623078223</v>
      </c>
      <c r="G31" s="24">
        <f t="shared" si="2"/>
        <v>6.6202252225211842</v>
      </c>
      <c r="H31" s="24">
        <f t="shared" si="2"/>
        <v>7.1282194255215625</v>
      </c>
      <c r="I31" s="24">
        <f t="shared" si="2"/>
        <v>8.1089587041836388</v>
      </c>
      <c r="J31" s="24">
        <f t="shared" si="2"/>
        <v>9.5909619123847829</v>
      </c>
    </row>
    <row r="32" spans="5:10" x14ac:dyDescent="0.2">
      <c r="E32" s="121">
        <v>480</v>
      </c>
      <c r="F32" s="24">
        <f t="shared" si="2"/>
        <v>5.1815848870792323</v>
      </c>
      <c r="G32" s="24">
        <f t="shared" si="2"/>
        <v>6.5945682978636189</v>
      </c>
      <c r="H32" s="24">
        <f t="shared" si="2"/>
        <v>7.103354825480781</v>
      </c>
      <c r="I32" s="24">
        <f t="shared" si="2"/>
        <v>8.0862872542263897</v>
      </c>
      <c r="J32" s="24">
        <f t="shared" si="2"/>
        <v>9.5728742723687255</v>
      </c>
    </row>
    <row r="33" spans="5:10" x14ac:dyDescent="0.2">
      <c r="E33" s="121">
        <v>500</v>
      </c>
      <c r="F33" s="24">
        <f t="shared" si="2"/>
        <v>5.1816883071454534</v>
      </c>
      <c r="G33" s="24">
        <f t="shared" si="2"/>
        <v>6.5704112994847135</v>
      </c>
      <c r="H33" s="24">
        <f t="shared" si="2"/>
        <v>7.0799601521994706</v>
      </c>
      <c r="I33" s="24">
        <f t="shared" si="2"/>
        <v>8.0649455669548153</v>
      </c>
      <c r="J33" s="24">
        <f t="shared" si="2"/>
        <v>9.555720205334115</v>
      </c>
    </row>
    <row r="34" spans="5:10" x14ac:dyDescent="0.2">
      <c r="E34" s="121">
        <v>520</v>
      </c>
      <c r="F34" s="24">
        <f t="shared" si="2"/>
        <v>5.1817916626628682</v>
      </c>
      <c r="G34" s="24">
        <f t="shared" si="2"/>
        <v>6.5474781822841663</v>
      </c>
      <c r="H34" s="24">
        <f t="shared" si="2"/>
        <v>7.0579007054209537</v>
      </c>
      <c r="I34" s="24">
        <f t="shared" si="2"/>
        <v>8.0448089246749941</v>
      </c>
      <c r="J34" s="24">
        <f t="shared" si="2"/>
        <v>9.5392554449739393</v>
      </c>
    </row>
    <row r="35" spans="5:10" x14ac:dyDescent="0.2">
      <c r="E35" s="121">
        <v>540</v>
      </c>
      <c r="F35" s="24">
        <f t="shared" si="2"/>
        <v>5.1818948024083307</v>
      </c>
      <c r="G35" s="24">
        <f t="shared" si="2"/>
        <v>6.5256271855918069</v>
      </c>
      <c r="H35" s="24">
        <f t="shared" si="2"/>
        <v>7.0373735707170555</v>
      </c>
      <c r="I35" s="24">
        <f t="shared" si="2"/>
        <v>8.0259587053557659</v>
      </c>
      <c r="J35" s="24">
        <f t="shared" si="2"/>
        <v>9.5231323196639917</v>
      </c>
    </row>
    <row r="36" spans="5:10" x14ac:dyDescent="0.2">
      <c r="E36" s="121">
        <v>560</v>
      </c>
      <c r="F36" s="24">
        <f t="shared" si="2"/>
        <v>5.181798364311665</v>
      </c>
      <c r="G36" s="24">
        <f t="shared" si="2"/>
        <v>6.5049307107866543</v>
      </c>
      <c r="H36" s="24">
        <f t="shared" si="2"/>
        <v>7.0179063937674888</v>
      </c>
      <c r="I36" s="24">
        <f t="shared" si="2"/>
        <v>8.0084339276685643</v>
      </c>
      <c r="J36" s="24">
        <f t="shared" si="2"/>
        <v>9.5078173655430351</v>
      </c>
    </row>
    <row r="37" spans="5:10" x14ac:dyDescent="0.2">
      <c r="E37" s="121">
        <v>580</v>
      </c>
      <c r="F37" s="24">
        <f t="shared" si="2"/>
        <v>5.1816617215053906</v>
      </c>
      <c r="G37" s="24">
        <f t="shared" si="2"/>
        <v>6.4852904251150445</v>
      </c>
      <c r="H37" s="24">
        <f t="shared" si="2"/>
        <v>6.9994113476145357</v>
      </c>
      <c r="I37" s="24">
        <f t="shared" si="2"/>
        <v>7.9917614238792352</v>
      </c>
      <c r="J37" s="24">
        <f t="shared" si="2"/>
        <v>9.4932466917302829</v>
      </c>
    </row>
    <row r="38" spans="5:10" x14ac:dyDescent="0.2">
      <c r="E38" s="121">
        <v>600</v>
      </c>
      <c r="F38" s="24">
        <f t="shared" si="2"/>
        <v>5.181542954506746</v>
      </c>
      <c r="G38" s="24">
        <f t="shared" si="2"/>
        <v>6.4666193395058862</v>
      </c>
      <c r="H38" s="24">
        <f t="shared" si="2"/>
        <v>6.9818104269300623</v>
      </c>
      <c r="I38" s="24">
        <f t="shared" si="2"/>
        <v>7.9758751492335902</v>
      </c>
      <c r="J38" s="24">
        <f t="shared" si="2"/>
        <v>9.4797939796971615</v>
      </c>
    </row>
    <row r="39" spans="5:10" x14ac:dyDescent="0.2">
      <c r="E39" s="121">
        <v>620</v>
      </c>
      <c r="F39" s="24">
        <f t="shared" si="2"/>
        <v>5.1814399749118802</v>
      </c>
      <c r="G39" s="24">
        <f t="shared" si="2"/>
        <v>6.448840179542648</v>
      </c>
      <c r="H39" s="24">
        <f t="shared" si="2"/>
        <v>6.965034085018722</v>
      </c>
      <c r="I39" s="24">
        <f t="shared" si="2"/>
        <v>7.9607159232687277</v>
      </c>
      <c r="J39" s="24">
        <f t="shared" si="2"/>
        <v>9.4674520972654221</v>
      </c>
    </row>
    <row r="40" spans="5:10" x14ac:dyDescent="0.2">
      <c r="E40" s="121">
        <v>640</v>
      </c>
      <c r="F40" s="24">
        <f t="shared" si="2"/>
        <v>5.1813509784340379</v>
      </c>
      <c r="G40" s="24">
        <f t="shared" si="2"/>
        <v>6.4318840336951633</v>
      </c>
      <c r="H40" s="24">
        <f t="shared" si="2"/>
        <v>6.9490200943167917</v>
      </c>
      <c r="I40" s="24">
        <f t="shared" si="2"/>
        <v>7.9462305504763808</v>
      </c>
      <c r="J40" s="24">
        <f t="shared" si="2"/>
        <v>9.4556001046298288</v>
      </c>
    </row>
    <row r="41" spans="5:10" x14ac:dyDescent="0.2">
      <c r="E41" s="121">
        <v>660</v>
      </c>
      <c r="F41" s="24">
        <f t="shared" si="2"/>
        <v>5.1812743999115289</v>
      </c>
      <c r="G41" s="24">
        <f t="shared" si="2"/>
        <v>6.4156892243752255</v>
      </c>
      <c r="H41" s="24">
        <f t="shared" si="2"/>
        <v>6.933773989249036</v>
      </c>
      <c r="I41" s="24">
        <f t="shared" si="2"/>
        <v>7.9322707297503783</v>
      </c>
      <c r="J41" s="24">
        <f t="shared" si="2"/>
        <v>9.444208554929963</v>
      </c>
    </row>
    <row r="42" spans="5:10" x14ac:dyDescent="0.2">
      <c r="E42" s="121">
        <v>680</v>
      </c>
      <c r="F42" s="24">
        <f t="shared" si="2"/>
        <v>5.1812088764627928</v>
      </c>
      <c r="G42" s="24">
        <f t="shared" si="2"/>
        <v>6.4003607413006254</v>
      </c>
      <c r="H42" s="24">
        <f t="shared" si="2"/>
        <v>6.9189113283897896</v>
      </c>
      <c r="I42" s="24">
        <f t="shared" si="2"/>
        <v>7.9187304175857776</v>
      </c>
      <c r="J42" s="24">
        <f t="shared" si="2"/>
        <v>9.4333393527958691</v>
      </c>
    </row>
    <row r="43" spans="5:10" x14ac:dyDescent="0.2">
      <c r="E43" s="121">
        <v>700</v>
      </c>
      <c r="F43" s="24">
        <f t="shared" si="2"/>
        <v>5.1811532171343835</v>
      </c>
      <c r="G43" s="24">
        <f t="shared" si="2"/>
        <v>6.3856755716315137</v>
      </c>
      <c r="H43" s="24">
        <f t="shared" si="2"/>
        <v>6.9046758268992026</v>
      </c>
      <c r="I43" s="24">
        <f t="shared" si="2"/>
        <v>7.9057560252735559</v>
      </c>
      <c r="J43" s="24">
        <f t="shared" si="2"/>
        <v>9.4223673944013377</v>
      </c>
    </row>
    <row r="44" spans="5:10" x14ac:dyDescent="0.2">
      <c r="E44" s="121">
        <v>720</v>
      </c>
      <c r="F44" s="24">
        <f t="shared" si="2"/>
        <v>5.1811695267562712</v>
      </c>
      <c r="G44" s="24">
        <f t="shared" si="2"/>
        <v>6.3715862591061416</v>
      </c>
      <c r="H44" s="24">
        <f t="shared" si="2"/>
        <v>6.8910246173090206</v>
      </c>
      <c r="I44" s="24">
        <f t="shared" si="2"/>
        <v>7.8933093944886101</v>
      </c>
      <c r="J44" s="24">
        <f t="shared" si="2"/>
        <v>9.4118187129102253</v>
      </c>
    </row>
    <row r="45" spans="5:10" x14ac:dyDescent="0.2">
      <c r="E45" s="121">
        <v>740</v>
      </c>
      <c r="F45" s="24">
        <f t="shared" si="2"/>
        <v>5.1812126936722471</v>
      </c>
      <c r="G45" s="24">
        <f t="shared" si="2"/>
        <v>6.3580536406861201</v>
      </c>
      <c r="H45" s="24">
        <f t="shared" si="2"/>
        <v>6.8779188214344424</v>
      </c>
      <c r="I45" s="24">
        <f t="shared" si="2"/>
        <v>7.881355859790836</v>
      </c>
      <c r="J45" s="24">
        <f t="shared" si="2"/>
        <v>9.4016674959992486</v>
      </c>
    </row>
    <row r="46" spans="5:10" x14ac:dyDescent="0.2">
      <c r="E46" s="121">
        <v>760</v>
      </c>
      <c r="F46" s="24">
        <f t="shared" si="2"/>
        <v>5.1812554108201647</v>
      </c>
      <c r="G46" s="24">
        <f t="shared" si="2"/>
        <v>6.3450420576593993</v>
      </c>
      <c r="H46" s="24">
        <f t="shared" si="2"/>
        <v>6.8653230857820811</v>
      </c>
      <c r="I46" s="24">
        <f t="shared" si="2"/>
        <v>7.8698638497071487</v>
      </c>
      <c r="J46" s="24">
        <f t="shared" si="2"/>
        <v>9.3918900263278591</v>
      </c>
    </row>
    <row r="47" spans="5:10" x14ac:dyDescent="0.2">
      <c r="E47" s="121">
        <v>780</v>
      </c>
      <c r="F47" s="24">
        <f t="shared" si="2"/>
        <v>5.1812977425310773</v>
      </c>
      <c r="G47" s="24">
        <f t="shared" si="2"/>
        <v>6.3325189633214265</v>
      </c>
      <c r="H47" s="24">
        <f t="shared" si="2"/>
        <v>6.8532051814993409</v>
      </c>
      <c r="I47" s="24">
        <f t="shared" si="2"/>
        <v>7.8589912382991107</v>
      </c>
      <c r="J47" s="24">
        <f t="shared" si="2"/>
        <v>9.3827152463108412</v>
      </c>
    </row>
    <row r="48" spans="5:10" x14ac:dyDescent="0.2">
      <c r="E48" s="121">
        <v>800</v>
      </c>
      <c r="F48" s="24">
        <f t="shared" si="2"/>
        <v>5.1813397388730182</v>
      </c>
      <c r="G48" s="24">
        <f t="shared" si="2"/>
        <v>6.3204545829436505</v>
      </c>
      <c r="H48" s="24">
        <f t="shared" si="2"/>
        <v>6.8415356583098603</v>
      </c>
      <c r="I48" s="24">
        <f t="shared" si="2"/>
        <v>7.8486240420825908</v>
      </c>
      <c r="J48" s="24">
        <f t="shared" si="2"/>
        <v>9.3742298554116452</v>
      </c>
    </row>
    <row r="49" spans="5:10" x14ac:dyDescent="0.2">
      <c r="E49" s="121">
        <v>820</v>
      </c>
      <c r="F49" s="24">
        <f t="shared" si="2"/>
        <v>5.1813814386017052</v>
      </c>
      <c r="G49" s="24">
        <f t="shared" si="2"/>
        <v>6.3088216179885483</v>
      </c>
      <c r="H49" s="24">
        <f t="shared" si="2"/>
        <v>6.8303525568821648</v>
      </c>
      <c r="I49" s="24">
        <f t="shared" si="2"/>
        <v>7.8386140029219904</v>
      </c>
      <c r="J49" s="24">
        <f t="shared" si="2"/>
        <v>9.3660055312642427</v>
      </c>
    </row>
    <row r="50" spans="5:10" x14ac:dyDescent="0.2">
      <c r="E50" s="121">
        <v>840</v>
      </c>
      <c r="F50" s="24">
        <f t="shared" si="2"/>
        <v>5.1814228714212813</v>
      </c>
      <c r="G50" s="24">
        <f t="shared" si="2"/>
        <v>6.2976206379158448</v>
      </c>
      <c r="H50" s="24">
        <f t="shared" si="2"/>
        <v>6.8196553897342032</v>
      </c>
      <c r="I50" s="24">
        <f t="shared" si="2"/>
        <v>7.8289413521874174</v>
      </c>
      <c r="J50" s="24">
        <f t="shared" si="2"/>
        <v>9.3580301220628659</v>
      </c>
    </row>
    <row r="51" spans="5:10" x14ac:dyDescent="0.2">
      <c r="E51" s="121">
        <v>860</v>
      </c>
      <c r="F51" s="24">
        <f t="shared" si="2"/>
        <v>5.1814640597899952</v>
      </c>
      <c r="G51" s="24">
        <f t="shared" si="2"/>
        <v>6.2866530154302804</v>
      </c>
      <c r="H51" s="24">
        <f t="shared" si="2"/>
        <v>6.8093191381977309</v>
      </c>
      <c r="I51" s="24">
        <f t="shared" si="2"/>
        <v>7.8195878006738662</v>
      </c>
      <c r="J51" s="24">
        <f t="shared" si="2"/>
        <v>9.3502921706506346</v>
      </c>
    </row>
    <row r="52" spans="5:10" x14ac:dyDescent="0.2">
      <c r="E52" s="121">
        <v>880</v>
      </c>
      <c r="F52" s="24">
        <f t="shared" si="2"/>
        <v>5.1815050204493591</v>
      </c>
      <c r="G52" s="24">
        <f t="shared" si="2"/>
        <v>6.2760547075436826</v>
      </c>
      <c r="H52" s="24">
        <f t="shared" si="2"/>
        <v>6.7993240480906882</v>
      </c>
      <c r="I52" s="24">
        <f t="shared" si="2"/>
        <v>7.8105364010488003</v>
      </c>
      <c r="J52" s="24">
        <f t="shared" si="2"/>
        <v>9.342742000072942</v>
      </c>
    </row>
    <row r="53" spans="5:10" x14ac:dyDescent="0.2">
      <c r="E53" s="121">
        <v>900</v>
      </c>
      <c r="F53" s="24">
        <f t="shared" si="2"/>
        <v>5.1815496085011983</v>
      </c>
      <c r="G53" s="24">
        <f t="shared" si="2"/>
        <v>6.2658054433683539</v>
      </c>
      <c r="H53" s="24">
        <f t="shared" si="2"/>
        <v>6.7896518401526489</v>
      </c>
      <c r="I53" s="24">
        <f t="shared" si="2"/>
        <v>7.8017714255167698</v>
      </c>
      <c r="J53" s="24">
        <f t="shared" si="2"/>
        <v>9.3351701733375609</v>
      </c>
    </row>
    <row r="54" spans="5:10" x14ac:dyDescent="0.2">
      <c r="E54" s="121">
        <v>920</v>
      </c>
      <c r="F54" s="24">
        <f t="shared" si="2"/>
        <v>5.1814893592475375</v>
      </c>
      <c r="G54" s="24">
        <f t="shared" si="2"/>
        <v>6.2558864757980182</v>
      </c>
      <c r="H54" s="24">
        <f t="shared" si="2"/>
        <v>6.7802855720655719</v>
      </c>
      <c r="I54" s="24">
        <f t="shared" si="2"/>
        <v>7.7931950868620081</v>
      </c>
      <c r="J54" s="24">
        <f t="shared" si="2"/>
        <v>9.3278252730508644</v>
      </c>
    </row>
    <row r="55" spans="5:10" x14ac:dyDescent="0.2">
      <c r="E55" s="121">
        <v>940</v>
      </c>
      <c r="F55" s="24">
        <f t="shared" si="2"/>
        <v>5.1814340893389117</v>
      </c>
      <c r="G55" s="24">
        <f t="shared" si="2"/>
        <v>6.2462804372312437</v>
      </c>
      <c r="H55" s="24">
        <f t="shared" si="2"/>
        <v>6.7712095157142782</v>
      </c>
      <c r="I55" s="24">
        <f t="shared" si="2"/>
        <v>7.7848088874022743</v>
      </c>
      <c r="J55" s="24">
        <f t="shared" si="2"/>
        <v>9.3206965341086079</v>
      </c>
    </row>
    <row r="56" spans="5:10" x14ac:dyDescent="0.2">
      <c r="E56" s="121">
        <v>960</v>
      </c>
      <c r="F56" s="24">
        <f t="shared" si="2"/>
        <v>5.1813834323886319</v>
      </c>
      <c r="G56" s="24">
        <f t="shared" si="2"/>
        <v>6.2369712119408414</v>
      </c>
      <c r="H56" s="24">
        <f t="shared" si="2"/>
        <v>6.7624090479689523</v>
      </c>
      <c r="I56" s="24">
        <f t="shared" si="2"/>
        <v>7.7766778786161153</v>
      </c>
      <c r="J56" s="24">
        <f t="shared" si="2"/>
        <v>9.3137738711307776</v>
      </c>
    </row>
    <row r="57" spans="5:10" x14ac:dyDescent="0.2">
      <c r="E57" s="121">
        <v>980</v>
      </c>
      <c r="F57" s="24">
        <f t="shared" si="2"/>
        <v>5.1813370536440519</v>
      </c>
      <c r="G57" s="24">
        <f t="shared" si="2"/>
        <v>6.2279438223364183</v>
      </c>
      <c r="H57" s="24">
        <f t="shared" si="2"/>
        <v>6.7538705532504908</v>
      </c>
      <c r="I57" s="24">
        <f t="shared" si="2"/>
        <v>7.7687894591902227</v>
      </c>
      <c r="J57" s="24">
        <f t="shared" si="2"/>
        <v>9.3071067329224384</v>
      </c>
    </row>
    <row r="58" spans="5:10" x14ac:dyDescent="0.2">
      <c r="E58" s="121">
        <v>1000</v>
      </c>
      <c r="F58" s="24">
        <f t="shared" si="2"/>
        <v>5.1812946469448082</v>
      </c>
      <c r="G58" s="24">
        <f t="shared" si="2"/>
        <v>6.2191843277735348</v>
      </c>
      <c r="H58" s="24">
        <f t="shared" si="2"/>
        <v>6.7455401811192655</v>
      </c>
      <c r="I58" s="24">
        <f t="shared" si="2"/>
        <v>7.7611318777479017</v>
      </c>
      <c r="J58" s="24">
        <f t="shared" si="2"/>
        <v>9.3010013124299427</v>
      </c>
    </row>
  </sheetData>
  <mergeCells count="1">
    <mergeCell ref="E5:J5"/>
  </mergeCells>
  <dataValidations count="3">
    <dataValidation type="list" allowBlank="1" showInputMessage="1" showErrorMessage="1" sqref="C12">
      <formula1>"DI, DO, UI, UO"</formula1>
    </dataValidation>
    <dataValidation type="list" allowBlank="1" showInputMessage="1" showErrorMessage="1" sqref="C13">
      <formula1>"Call, Put"</formula1>
    </dataValidation>
    <dataValidation type="decimal" operator="greaterThan" showInputMessage="1" showErrorMessage="1" sqref="C6:C1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4Refresh">
                <anchor moveWithCells="1" sizeWithCells="1">
                  <from>
                    <xdr:col>1</xdr:col>
                    <xdr:colOff>12700</xdr:colOff>
                    <xdr:row>15</xdr:row>
                    <xdr:rowOff>25400</xdr:rowOff>
                  </from>
                  <to>
                    <xdr:col>2</xdr:col>
                    <xdr:colOff>673100</xdr:colOff>
                    <xdr:row>17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Q1</vt:lpstr>
      <vt:lpstr>Q2</vt:lpstr>
      <vt:lpstr>Q3</vt:lpstr>
      <vt:lpstr>Q4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Ip</dc:creator>
  <cp:keywords/>
  <dc:description/>
  <cp:lastModifiedBy>Microsoft Office User</cp:lastModifiedBy>
  <dcterms:created xsi:type="dcterms:W3CDTF">2015-04-09T13:13:14Z</dcterms:created>
  <dcterms:modified xsi:type="dcterms:W3CDTF">2015-10-22T14:21:42Z</dcterms:modified>
  <cp:category/>
</cp:coreProperties>
</file>